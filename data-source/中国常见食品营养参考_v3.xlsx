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常见食品营养参考" sheetId="1" state="visible" r:id="rId1"/>
    <sheet xmlns:r="http://schemas.openxmlformats.org/officeDocument/2006/relationships" name="食材营养成分" sheetId="2" state="visible" r:id="rId2"/>
    <sheet xmlns:r="http://schemas.openxmlformats.org/officeDocument/2006/relationships" name="每日营养需求参考" sheetId="3" state="visible" r:id="rId3"/>
    <sheet xmlns:r="http://schemas.openxmlformats.org/officeDocument/2006/relationships" name="运动能量消耗参考" sheetId="4" state="visible" r:id="rId4"/>
    <sheet xmlns:r="http://schemas.openxmlformats.org/officeDocument/2006/relationships" name="菜肴标杆对照表" sheetId="5" state="visible" r:id="rId5"/>
    <sheet xmlns:r="http://schemas.openxmlformats.org/officeDocument/2006/relationships" name="分类说明" sheetId="6" state="visible" r:id="rId6"/>
    <sheet xmlns:r="http://schemas.openxmlformats.org/officeDocument/2006/relationships" name="使用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D4AC0D"/>
      <sz val="10"/>
    </font>
    <font>
      <name val="Arial"/>
      <b val="1"/>
      <color rgb="001E8449"/>
      <sz val="10"/>
    </font>
    <font>
      <name val="Arial"/>
      <b val="1"/>
      <color rgb="00FFFFFF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i val="1"/>
      <color rgb="00444444"/>
      <sz val="9"/>
    </font>
  </fonts>
  <fills count="2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9EBEA"/>
      </patternFill>
    </fill>
    <fill>
      <patternFill patternType="solid">
        <fgColor rgb="00FCF3CF"/>
      </patternFill>
    </fill>
    <fill>
      <patternFill patternType="solid">
        <fgColor rgb="00EBF5FB"/>
      </patternFill>
    </fill>
    <fill>
      <patternFill patternType="solid">
        <fgColor rgb="00F0ECF8"/>
      </patternFill>
    </fill>
    <fill>
      <patternFill patternType="solid">
        <fgColor rgb="00F5F5F5"/>
      </patternFill>
    </fill>
    <fill>
      <patternFill patternType="solid">
        <fgColor rgb="00FDEBD0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E8F5E9"/>
      </patternFill>
    </fill>
    <fill>
      <patternFill patternType="solid">
        <fgColor rgb="00FDEDEC"/>
      </patternFill>
    </fill>
    <fill>
      <patternFill patternType="solid">
        <fgColor rgb="00F0F3FF"/>
      </patternFill>
    </fill>
    <fill>
      <patternFill patternType="solid">
        <fgColor rgb="00FFF3E0"/>
      </patternFill>
    </fill>
    <fill>
      <patternFill patternType="solid">
        <fgColor rgb="00FAFAFA"/>
      </patternFill>
    </fill>
    <fill>
      <patternFill patternType="solid">
        <fgColor rgb="002E4057"/>
      </patternFill>
    </fill>
    <fill>
      <patternFill patternType="solid">
        <fgColor rgb="00D1F2EB"/>
      </patternFill>
    </fill>
    <fill>
      <patternFill patternType="solid">
        <fgColor rgb="002C3E50"/>
      </patternFill>
    </fill>
    <fill>
      <patternFill patternType="solid">
        <fgColor rgb="00E8DAE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2" fillId="22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12" fillId="2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1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5" customWidth="1" min="4" max="4"/>
    <col width="16" customWidth="1" min="5" max="5"/>
    <col width="12" customWidth="1" min="6" max="6"/>
    <col width="13" customWidth="1" min="7" max="7"/>
    <col width="14" customWidth="1" min="8" max="8"/>
    <col width="38" customWidth="1" min="9" max="9"/>
    <col width="38" customWidth="1" min="10" max="10"/>
    <col width="48" customWidth="1" min="11" max="11"/>
    <col width="38" customWidth="1" min="12" max="12"/>
  </cols>
  <sheetData>
    <row r="1" ht="36" customHeight="1">
      <c r="A1" s="1" t="inlineStr">
        <is>
          <t>名称</t>
        </is>
      </c>
      <c r="B1" s="1" t="inlineStr">
        <is>
          <t>分类</t>
        </is>
      </c>
      <c r="C1" s="1" t="inlineStr">
        <is>
          <t>菜系</t>
        </is>
      </c>
      <c r="D1" s="1" t="inlineStr">
        <is>
          <t>每100g热量(kJ)</t>
        </is>
      </c>
      <c r="E1" s="1" t="inlineStr">
        <is>
          <t>每100g能量(kcal)</t>
        </is>
      </c>
      <c r="F1" s="1" t="inlineStr">
        <is>
          <t>常见每份(g)</t>
        </is>
      </c>
      <c r="G1" s="1" t="inlineStr">
        <is>
          <t>每份热量(kJ)</t>
        </is>
      </c>
      <c r="H1" s="1" t="inlineStr">
        <is>
          <t>每份能量(kcal)</t>
        </is>
      </c>
      <c r="I1" s="1" t="inlineStr">
        <is>
          <t>核心营养成分</t>
        </is>
      </c>
      <c r="J1" s="1" t="inlineStr">
        <is>
          <t>其他营养成分</t>
        </is>
      </c>
      <c r="K1" s="1" t="inlineStr">
        <is>
          <t>备注</t>
        </is>
      </c>
      <c r="L1" s="1" t="inlineStr">
        <is>
          <t>主要原料（参见食材表）</t>
        </is>
      </c>
    </row>
    <row r="2">
      <c r="A2" s="2" t="inlineStr">
        <is>
          <t>白米饭</t>
        </is>
      </c>
      <c r="B2" s="2" t="inlineStr">
        <is>
          <t>主食</t>
        </is>
      </c>
      <c r="C2" s="3" t="inlineStr">
        <is>
          <t>—</t>
        </is>
      </c>
      <c r="D2" s="4" t="n">
        <v>493</v>
      </c>
      <c r="E2" s="4" t="n">
        <v>118</v>
      </c>
      <c r="F2" s="4" t="n">
        <v>250</v>
      </c>
      <c r="G2" s="4">
        <f>ROUND(D2*F2/100,0)</f>
        <v/>
      </c>
      <c r="H2" s="4">
        <f>ROUND(E2*F2/100,0)</f>
        <v/>
      </c>
      <c r="I2" s="2" t="inlineStr">
        <is>
          <t>碳水化合物(27g/100g)</t>
        </is>
      </c>
      <c r="J2" s="2" t="inlineStr">
        <is>
          <t>蛋白质(2.6g)</t>
        </is>
      </c>
      <c r="K2" s="2" t="inlineStr">
        <is>
          <t>加拌饭酱、黄油等会增加热量</t>
        </is>
      </c>
      <c r="L2" s="2" t="inlineStr">
        <is>
          <t>大米</t>
        </is>
      </c>
    </row>
    <row r="3">
      <c r="A3" s="2" t="inlineStr">
        <is>
          <t>糙米饭</t>
        </is>
      </c>
      <c r="B3" s="2" t="inlineStr">
        <is>
          <t>主食</t>
        </is>
      </c>
      <c r="C3" s="3" t="inlineStr">
        <is>
          <t>—</t>
        </is>
      </c>
      <c r="D3" s="4" t="n">
        <v>469</v>
      </c>
      <c r="E3" s="4" t="n">
        <v>112</v>
      </c>
      <c r="F3" s="4" t="n">
        <v>250</v>
      </c>
      <c r="G3" s="4">
        <f>ROUND(D3*F3/100,0)</f>
        <v/>
      </c>
      <c r="H3" s="4">
        <f>ROUND(E3*F3/100,0)</f>
        <v/>
      </c>
      <c r="I3" s="2" t="inlineStr">
        <is>
          <t>碳水化合物(23g/100g)</t>
        </is>
      </c>
      <c r="J3" s="2" t="inlineStr">
        <is>
          <t>膳食纤维(1.8g)、B族维生素</t>
        </is>
      </c>
      <c r="K3" s="2" t="inlineStr">
        <is>
          <t>血糖指数低于白米饭</t>
        </is>
      </c>
      <c r="L3" s="2" t="inlineStr">
        <is>
          <t>糙米</t>
        </is>
      </c>
    </row>
    <row r="4">
      <c r="A4" s="2" t="inlineStr">
        <is>
          <t>白馒头</t>
        </is>
      </c>
      <c r="B4" s="2" t="inlineStr">
        <is>
          <t>主食</t>
        </is>
      </c>
      <c r="C4" s="3" t="inlineStr">
        <is>
          <t>—</t>
        </is>
      </c>
      <c r="D4" s="4" t="n">
        <v>882</v>
      </c>
      <c r="E4" s="4" t="n">
        <v>211</v>
      </c>
      <c r="F4" s="4" t="n">
        <v>100</v>
      </c>
      <c r="G4" s="4">
        <f>ROUND(D4*F4/100,0)</f>
        <v/>
      </c>
      <c r="H4" s="4">
        <f>ROUND(E4*F4/100,0)</f>
        <v/>
      </c>
      <c r="I4" s="2" t="inlineStr">
        <is>
          <t>碳水化合物(45g/100g)、蛋白质(6.1g)</t>
        </is>
      </c>
      <c r="J4" s="2" t="inlineStr">
        <is>
          <t>少量B族维生素</t>
        </is>
      </c>
      <c r="K4" s="2" t="inlineStr">
        <is>
          <t>加蒜蓉/肉馅热量更高</t>
        </is>
      </c>
      <c r="L4" s="2" t="inlineStr">
        <is>
          <t>面粉</t>
        </is>
      </c>
    </row>
    <row r="5">
      <c r="A5" s="2" t="inlineStr">
        <is>
          <t>花卷</t>
        </is>
      </c>
      <c r="B5" s="2" t="inlineStr">
        <is>
          <t>主食</t>
        </is>
      </c>
      <c r="C5" s="3" t="inlineStr">
        <is>
          <t>—</t>
        </is>
      </c>
      <c r="D5" s="4" t="n">
        <v>795</v>
      </c>
      <c r="E5" s="4" t="n">
        <v>190</v>
      </c>
      <c r="F5" s="4" t="n">
        <v>80</v>
      </c>
      <c r="G5" s="4">
        <f>ROUND(D5*F5/100,0)</f>
        <v/>
      </c>
      <c r="H5" s="4">
        <f>ROUND(E5*F5/100,0)</f>
        <v/>
      </c>
      <c r="I5" s="2" t="inlineStr">
        <is>
          <t>碳水化合物(40g/100g)</t>
        </is>
      </c>
      <c r="J5" s="2" t="inlineStr">
        <is>
          <t>少量植物油</t>
        </is>
      </c>
      <c r="K5" s="2" t="inlineStr">
        <is>
          <t>热量略高于馒头</t>
        </is>
      </c>
      <c r="L5" s="2" t="inlineStr">
        <is>
          <t>面粉</t>
        </is>
      </c>
    </row>
    <row r="6">
      <c r="A6" s="2" t="inlineStr">
        <is>
          <t>烙饼/家常饼</t>
        </is>
      </c>
      <c r="B6" s="2" t="inlineStr">
        <is>
          <t>主食</t>
        </is>
      </c>
      <c r="C6" s="3" t="inlineStr">
        <is>
          <t>—</t>
        </is>
      </c>
      <c r="D6" s="4" t="n">
        <v>1025</v>
      </c>
      <c r="E6" s="4" t="n">
        <v>245</v>
      </c>
      <c r="F6" s="4" t="n">
        <v>100</v>
      </c>
      <c r="G6" s="4">
        <f>ROUND(D6*F6/100,0)</f>
        <v/>
      </c>
      <c r="H6" s="4">
        <f>ROUND(E6*F6/100,0)</f>
        <v/>
      </c>
      <c r="I6" s="2" t="inlineStr">
        <is>
          <t>碳水化合物(51g/100g)</t>
        </is>
      </c>
      <c r="J6" s="2" t="inlineStr">
        <is>
          <t>少量植物油</t>
        </is>
      </c>
      <c r="K6" s="2" t="inlineStr">
        <is>
          <t>加葱油热量更高</t>
        </is>
      </c>
      <c r="L6" s="2" t="inlineStr">
        <is>
          <t>面粉、菜籽油</t>
        </is>
      </c>
    </row>
    <row r="7">
      <c r="A7" s="2" t="inlineStr">
        <is>
          <t>油饼</t>
        </is>
      </c>
      <c r="B7" s="2" t="inlineStr">
        <is>
          <t>主食</t>
        </is>
      </c>
      <c r="C7" s="3" t="inlineStr">
        <is>
          <t>—</t>
        </is>
      </c>
      <c r="D7" s="4" t="n">
        <v>1380</v>
      </c>
      <c r="E7" s="4" t="n">
        <v>330</v>
      </c>
      <c r="F7" s="4" t="n">
        <v>100</v>
      </c>
      <c r="G7" s="4">
        <f>ROUND(D7*F7/100,0)</f>
        <v/>
      </c>
      <c r="H7" s="4">
        <f>ROUND(E7*F7/100,0)</f>
        <v/>
      </c>
      <c r="I7" s="2" t="inlineStr">
        <is>
          <t>脂肪(17g/100g)、碳水化合物(41g)</t>
        </is>
      </c>
      <c r="J7" s="2" t="inlineStr">
        <is>
          <t>钠含量较高</t>
        </is>
      </c>
      <c r="K7" s="2" t="inlineStr">
        <is>
          <t>高热量食品，控重慎食</t>
        </is>
      </c>
      <c r="L7" s="2" t="inlineStr">
        <is>
          <t>面粉、菜籽油</t>
        </is>
      </c>
    </row>
    <row r="8">
      <c r="A8" s="2" t="inlineStr">
        <is>
          <t>油条</t>
        </is>
      </c>
      <c r="B8" s="2" t="inlineStr">
        <is>
          <t>主食</t>
        </is>
      </c>
      <c r="C8" s="3" t="inlineStr">
        <is>
          <t>—</t>
        </is>
      </c>
      <c r="D8" s="4" t="n">
        <v>1507</v>
      </c>
      <c r="E8" s="4" t="n">
        <v>360</v>
      </c>
      <c r="F8" s="4" t="n">
        <v>100</v>
      </c>
      <c r="G8" s="4">
        <f>ROUND(D8*F8/100,0)</f>
        <v/>
      </c>
      <c r="H8" s="4">
        <f>ROUND(E8*F8/100,0)</f>
        <v/>
      </c>
      <c r="I8" s="2" t="inlineStr">
        <is>
          <t>脂肪(17.6g/100g)、碳水化合物(51g)</t>
        </is>
      </c>
      <c r="J8" s="2" t="inlineStr">
        <is>
          <t>钠含量较高</t>
        </is>
      </c>
      <c r="K8" s="2" t="inlineStr">
        <is>
          <t>油炸食品，高热量</t>
        </is>
      </c>
      <c r="L8" s="2" t="inlineStr">
        <is>
          <t>面粉、菜籽油</t>
        </is>
      </c>
    </row>
    <row r="9">
      <c r="A9" s="2" t="inlineStr">
        <is>
          <t>粥（白米粥）</t>
        </is>
      </c>
      <c r="B9" s="2" t="inlineStr">
        <is>
          <t>主食</t>
        </is>
      </c>
      <c r="C9" s="3" t="inlineStr">
        <is>
          <t>—</t>
        </is>
      </c>
      <c r="D9" s="4" t="n">
        <v>176</v>
      </c>
      <c r="E9" s="4" t="n">
        <v>42</v>
      </c>
      <c r="F9" s="4" t="n">
        <v>300</v>
      </c>
      <c r="G9" s="4">
        <f>ROUND(D9*F9/100,0)</f>
        <v/>
      </c>
      <c r="H9" s="4">
        <f>ROUND(E9*F9/100,0)</f>
        <v/>
      </c>
      <c r="I9" s="2" t="inlineStr">
        <is>
          <t>碳水化合物(9g/100g)</t>
        </is>
      </c>
      <c r="J9" s="2" t="inlineStr">
        <is>
          <t>水分含量高</t>
        </is>
      </c>
      <c r="K9" s="2" t="inlineStr">
        <is>
          <t>稀粥热量极低，加料后增加</t>
        </is>
      </c>
      <c r="L9" s="2" t="inlineStr">
        <is>
          <t>大米</t>
        </is>
      </c>
    </row>
    <row r="10">
      <c r="A10" s="2" t="inlineStr">
        <is>
          <t>皮蛋瘦肉粥</t>
        </is>
      </c>
      <c r="B10" s="2" t="inlineStr">
        <is>
          <t>主食</t>
        </is>
      </c>
      <c r="C10" s="3" t="inlineStr">
        <is>
          <t>—</t>
        </is>
      </c>
      <c r="D10" s="4" t="n">
        <v>264</v>
      </c>
      <c r="E10" s="4" t="n">
        <v>63</v>
      </c>
      <c r="F10" s="4" t="n">
        <v>350</v>
      </c>
      <c r="G10" s="4">
        <f>ROUND(D10*F10/100,0)</f>
        <v/>
      </c>
      <c r="H10" s="4">
        <f>ROUND(E10*F10/100,0)</f>
        <v/>
      </c>
      <c r="I10" s="2" t="inlineStr">
        <is>
          <t>蛋白质(5g/100g)、碳水化合物(9g)</t>
        </is>
      </c>
      <c r="J10" s="2" t="inlineStr">
        <is>
          <t>少量脂肪</t>
        </is>
      </c>
      <c r="K10" s="2" t="inlineStr">
        <is>
          <t>常见早餐粥品</t>
        </is>
      </c>
      <c r="L10" s="2" t="inlineStr">
        <is>
          <t>大米、猪腿肉（瘦）、皮蛋</t>
        </is>
      </c>
    </row>
    <row r="11">
      <c r="A11" s="2" t="inlineStr">
        <is>
          <t>小米粥</t>
        </is>
      </c>
      <c r="B11" s="2" t="inlineStr">
        <is>
          <t>主食</t>
        </is>
      </c>
      <c r="C11" s="3" t="inlineStr">
        <is>
          <t>—</t>
        </is>
      </c>
      <c r="D11" s="4" t="n">
        <v>197</v>
      </c>
      <c r="E11" s="4" t="n">
        <v>47</v>
      </c>
      <c r="F11" s="4" t="n">
        <v>300</v>
      </c>
      <c r="G11" s="4">
        <f>ROUND(D11*F11/100,0)</f>
        <v/>
      </c>
      <c r="H11" s="4">
        <f>ROUND(E11*F11/100,0)</f>
        <v/>
      </c>
      <c r="I11" s="2" t="inlineStr">
        <is>
          <t>碳水化合物(9.7g/100g)</t>
        </is>
      </c>
      <c r="J11" s="2" t="inlineStr">
        <is>
          <t>B族维生素、铁</t>
        </is>
      </c>
      <c r="K11" s="2" t="inlineStr">
        <is>
          <t>养胃佳品</t>
        </is>
      </c>
      <c r="L11" s="2" t="inlineStr">
        <is>
          <t>小米</t>
        </is>
      </c>
    </row>
    <row r="12">
      <c r="A12" s="2" t="inlineStr">
        <is>
          <t>面条（煮熟）</t>
        </is>
      </c>
      <c r="B12" s="2" t="inlineStr">
        <is>
          <t>主食</t>
        </is>
      </c>
      <c r="C12" s="3" t="inlineStr">
        <is>
          <t>—</t>
        </is>
      </c>
      <c r="D12" s="4" t="n">
        <v>448</v>
      </c>
      <c r="E12" s="4" t="n">
        <v>107</v>
      </c>
      <c r="F12" s="4" t="n">
        <v>200</v>
      </c>
      <c r="G12" s="4">
        <f>ROUND(D12*F12/100,0)</f>
        <v/>
      </c>
      <c r="H12" s="4">
        <f>ROUND(E12*F12/100,0)</f>
        <v/>
      </c>
      <c r="I12" s="2" t="inlineStr">
        <is>
          <t>碳水化合物(22g/100g)、蛋白质(3.3g)</t>
        </is>
      </c>
      <c r="J12" s="2" t="inlineStr">
        <is>
          <t>少量B族维生素</t>
        </is>
      </c>
      <c r="K12" s="2" t="inlineStr">
        <is>
          <t>汤底和配料显著影响总热量</t>
        </is>
      </c>
      <c r="L12" s="2" t="inlineStr">
        <is>
          <t>面粉</t>
        </is>
      </c>
    </row>
    <row r="13">
      <c r="A13" s="2" t="inlineStr">
        <is>
          <t>拉面（带汤）</t>
        </is>
      </c>
      <c r="B13" s="2" t="inlineStr">
        <is>
          <t>主食</t>
        </is>
      </c>
      <c r="C13" s="3" t="inlineStr">
        <is>
          <t>—</t>
        </is>
      </c>
      <c r="D13" s="4" t="n">
        <v>460</v>
      </c>
      <c r="E13" s="4" t="n">
        <v>110</v>
      </c>
      <c r="F13" s="4" t="n">
        <v>500</v>
      </c>
      <c r="G13" s="4">
        <f>ROUND(D13*F13/100,0)</f>
        <v/>
      </c>
      <c r="H13" s="4">
        <f>ROUND(E13*F13/100,0)</f>
        <v/>
      </c>
      <c r="I13" s="2" t="inlineStr">
        <is>
          <t>碳水化合物(20g/100g)、蛋白质(5g)</t>
        </is>
      </c>
      <c r="J13" s="2" t="inlineStr">
        <is>
          <t>钠含量较高</t>
        </is>
      </c>
      <c r="K13" s="2" t="inlineStr">
        <is>
          <t>汤含大量盐分</t>
        </is>
      </c>
      <c r="L13" s="2" t="inlineStr">
        <is>
          <t>面粉、猪腿肉（瘦）</t>
        </is>
      </c>
    </row>
    <row r="14">
      <c r="A14" s="2" t="inlineStr">
        <is>
          <t>饺子（猪肉白菜）</t>
        </is>
      </c>
      <c r="B14" s="2" t="inlineStr">
        <is>
          <t>主食</t>
        </is>
      </c>
      <c r="C14" s="3" t="inlineStr">
        <is>
          <t>—</t>
        </is>
      </c>
      <c r="D14" s="4" t="n">
        <v>728</v>
      </c>
      <c r="E14" s="4" t="n">
        <v>174</v>
      </c>
      <c r="F14" s="4" t="n">
        <v>200</v>
      </c>
      <c r="G14" s="4">
        <f>ROUND(D14*F14/100,0)</f>
        <v/>
      </c>
      <c r="H14" s="4">
        <f>ROUND(E14*F14/100,0)</f>
        <v/>
      </c>
      <c r="I14" s="2" t="inlineStr">
        <is>
          <t>碳水化合物(21g/100g)、蛋白质(10g)</t>
        </is>
      </c>
      <c r="J14" s="2" t="inlineStr">
        <is>
          <t>脂肪(7g)</t>
        </is>
      </c>
      <c r="K14" s="2" t="inlineStr">
        <is>
          <t>煎饺热量高于水饺</t>
        </is>
      </c>
      <c r="L14" s="2" t="inlineStr">
        <is>
          <t>面粉、猪腿肉（瘦）、大白菜</t>
        </is>
      </c>
    </row>
    <row r="15">
      <c r="A15" s="2" t="inlineStr">
        <is>
          <t>包子（猪肉大葱）</t>
        </is>
      </c>
      <c r="B15" s="2" t="inlineStr">
        <is>
          <t>主食</t>
        </is>
      </c>
      <c r="C15" s="3" t="inlineStr">
        <is>
          <t>—</t>
        </is>
      </c>
      <c r="D15" s="4" t="n">
        <v>836</v>
      </c>
      <c r="E15" s="4" t="n">
        <v>200</v>
      </c>
      <c r="F15" s="4" t="n">
        <v>100</v>
      </c>
      <c r="G15" s="4">
        <f>ROUND(D15*F15/100,0)</f>
        <v/>
      </c>
      <c r="H15" s="4">
        <f>ROUND(E15*F15/100,0)</f>
        <v/>
      </c>
      <c r="I15" s="2" t="inlineStr">
        <is>
          <t>碳水化合物(26g/100g)、蛋白质(8g)</t>
        </is>
      </c>
      <c r="J15" s="2" t="inlineStr">
        <is>
          <t>脂肪(9g)</t>
        </is>
      </c>
      <c r="K15" s="2" t="inlineStr">
        <is>
          <t>素馅包子热量更低</t>
        </is>
      </c>
      <c r="L15" s="2" t="inlineStr">
        <is>
          <t>面粉、猪腿肉（瘦）、香葱/小葱</t>
        </is>
      </c>
    </row>
    <row r="16">
      <c r="A16" s="2" t="inlineStr">
        <is>
          <t>锅贴</t>
        </is>
      </c>
      <c r="B16" s="2" t="inlineStr">
        <is>
          <t>主食</t>
        </is>
      </c>
      <c r="C16" s="3" t="inlineStr">
        <is>
          <t>—</t>
        </is>
      </c>
      <c r="D16" s="4" t="n">
        <v>920</v>
      </c>
      <c r="E16" s="4" t="n">
        <v>220</v>
      </c>
      <c r="F16" s="4" t="n">
        <v>150</v>
      </c>
      <c r="G16" s="4">
        <f>ROUND(D16*F16/100,0)</f>
        <v/>
      </c>
      <c r="H16" s="4">
        <f>ROUND(E16*F16/100,0)</f>
        <v/>
      </c>
      <c r="I16" s="2" t="inlineStr">
        <is>
          <t>碳水化合物(24g/100g)、蛋白质(9g)</t>
        </is>
      </c>
      <c r="J16" s="2" t="inlineStr">
        <is>
          <t>脂肪(10g)</t>
        </is>
      </c>
      <c r="K16" s="2" t="inlineStr">
        <is>
          <t>煎制，热量高于水饺</t>
        </is>
      </c>
      <c r="L16" s="2" t="inlineStr">
        <is>
          <t>面粉、猪腿肉（瘦）</t>
        </is>
      </c>
    </row>
    <row r="17">
      <c r="A17" s="2" t="inlineStr">
        <is>
          <t>烧卖</t>
        </is>
      </c>
      <c r="B17" s="2" t="inlineStr">
        <is>
          <t>主食</t>
        </is>
      </c>
      <c r="C17" s="3" t="inlineStr">
        <is>
          <t>—</t>
        </is>
      </c>
      <c r="D17" s="4" t="n">
        <v>795</v>
      </c>
      <c r="E17" s="4" t="n">
        <v>190</v>
      </c>
      <c r="F17" s="4" t="n">
        <v>150</v>
      </c>
      <c r="G17" s="4">
        <f>ROUND(D17*F17/100,0)</f>
        <v/>
      </c>
      <c r="H17" s="4">
        <f>ROUND(E17*F17/100,0)</f>
        <v/>
      </c>
      <c r="I17" s="2" t="inlineStr">
        <is>
          <t>碳水化合物(22g/100g)、蛋白质(8g)</t>
        </is>
      </c>
      <c r="J17" s="2" t="inlineStr">
        <is>
          <t>脂肪(8g)</t>
        </is>
      </c>
      <c r="K17" s="2" t="inlineStr">
        <is>
          <t>糯米烧卖热量更高</t>
        </is>
      </c>
      <c r="L17" s="2" t="inlineStr">
        <is>
          <t>面粉、猪腿肉（瘦）、香菇（鲜）</t>
        </is>
      </c>
    </row>
    <row r="18">
      <c r="A18" s="2" t="inlineStr">
        <is>
          <t>汤圆（芝麻馅）</t>
        </is>
      </c>
      <c r="B18" s="2" t="inlineStr">
        <is>
          <t>主食</t>
        </is>
      </c>
      <c r="C18" s="3" t="inlineStr">
        <is>
          <t>—</t>
        </is>
      </c>
      <c r="D18" s="4" t="n">
        <v>1155</v>
      </c>
      <c r="E18" s="4" t="n">
        <v>276</v>
      </c>
      <c r="F18" s="4" t="n">
        <v>100</v>
      </c>
      <c r="G18" s="4">
        <f>ROUND(D18*F18/100,0)</f>
        <v/>
      </c>
      <c r="H18" s="4">
        <f>ROUND(E18*F18/100,0)</f>
        <v/>
      </c>
      <c r="I18" s="2" t="inlineStr">
        <is>
          <t>碳水化合物(37g/100g)、脂肪(13g)</t>
        </is>
      </c>
      <c r="J18" s="2" t="inlineStr">
        <is>
          <t>糖分较高</t>
        </is>
      </c>
      <c r="K18" s="2" t="inlineStr">
        <is>
          <t>甜食，控糖慎食</t>
        </is>
      </c>
      <c r="L18" s="2" t="inlineStr">
        <is>
          <t>糯米粉、黑芝麻</t>
        </is>
      </c>
    </row>
    <row r="19">
      <c r="A19" s="2" t="inlineStr">
        <is>
          <t>粽子（猪肉）</t>
        </is>
      </c>
      <c r="B19" s="2" t="inlineStr">
        <is>
          <t>主食</t>
        </is>
      </c>
      <c r="C19" s="3" t="inlineStr">
        <is>
          <t>—</t>
        </is>
      </c>
      <c r="D19" s="4" t="n">
        <v>870</v>
      </c>
      <c r="E19" s="4" t="n">
        <v>208</v>
      </c>
      <c r="F19" s="4" t="n">
        <v>150</v>
      </c>
      <c r="G19" s="4">
        <f>ROUND(D19*F19/100,0)</f>
        <v/>
      </c>
      <c r="H19" s="4">
        <f>ROUND(E19*F19/100,0)</f>
        <v/>
      </c>
      <c r="I19" s="2" t="inlineStr">
        <is>
          <t>碳水化合物(35g/100g)、蛋白质(6g)</t>
        </is>
      </c>
      <c r="J19" s="2" t="inlineStr">
        <is>
          <t>脂肪(8g)</t>
        </is>
      </c>
      <c r="K19" s="2" t="inlineStr">
        <is>
          <t>热量因馅料差异较大</t>
        </is>
      </c>
      <c r="L19" s="2" t="inlineStr">
        <is>
          <t>糯米、猪五花肉</t>
        </is>
      </c>
    </row>
    <row r="20">
      <c r="A20" s="2" t="inlineStr">
        <is>
          <t>煎饼果子</t>
        </is>
      </c>
      <c r="B20" s="2" t="inlineStr">
        <is>
          <t>主食</t>
        </is>
      </c>
      <c r="C20" s="3" t="inlineStr">
        <is>
          <t>—</t>
        </is>
      </c>
      <c r="D20" s="4" t="n">
        <v>795</v>
      </c>
      <c r="E20" s="4" t="n">
        <v>190</v>
      </c>
      <c r="F20" s="4" t="n">
        <v>200</v>
      </c>
      <c r="G20" s="4">
        <f>ROUND(D20*F20/100,0)</f>
        <v/>
      </c>
      <c r="H20" s="4">
        <f>ROUND(E20*F20/100,0)</f>
        <v/>
      </c>
      <c r="I20" s="2" t="inlineStr">
        <is>
          <t>碳水化合物(30g/100g)、蛋白质(8g)</t>
        </is>
      </c>
      <c r="J20" s="2" t="inlineStr">
        <is>
          <t>脂肪(8g)</t>
        </is>
      </c>
      <c r="K20" s="2" t="inlineStr">
        <is>
          <t>加油条热量更高</t>
        </is>
      </c>
      <c r="L20" s="2" t="inlineStr">
        <is>
          <t>面粉、鸡蛋（全蛋）</t>
        </is>
      </c>
    </row>
    <row r="21">
      <c r="A21" s="2" t="inlineStr">
        <is>
          <t>肠粉</t>
        </is>
      </c>
      <c r="B21" s="2" t="inlineStr">
        <is>
          <t>主食</t>
        </is>
      </c>
      <c r="C21" s="3" t="inlineStr">
        <is>
          <t>—</t>
        </is>
      </c>
      <c r="D21" s="4" t="n">
        <v>502</v>
      </c>
      <c r="E21" s="4" t="n">
        <v>120</v>
      </c>
      <c r="F21" s="4" t="n">
        <v>200</v>
      </c>
      <c r="G21" s="4">
        <f>ROUND(D21*F21/100,0)</f>
        <v/>
      </c>
      <c r="H21" s="4">
        <f>ROUND(E21*F21/100,0)</f>
        <v/>
      </c>
      <c r="I21" s="2" t="inlineStr">
        <is>
          <t>碳水化合物(19g/100g)、蛋白质(5g)</t>
        </is>
      </c>
      <c r="J21" s="2" t="inlineStr">
        <is>
          <t>少量脂肪</t>
        </is>
      </c>
      <c r="K21" s="2" t="inlineStr">
        <is>
          <t>加酱汁热量增加</t>
        </is>
      </c>
      <c r="L21" s="2" t="inlineStr">
        <is>
          <t>大米、猪腿肉（瘦）</t>
        </is>
      </c>
    </row>
    <row r="22">
      <c r="A22" s="2" t="inlineStr">
        <is>
          <t>豆腐脑/豆花</t>
        </is>
      </c>
      <c r="B22" s="2" t="inlineStr">
        <is>
          <t>主食</t>
        </is>
      </c>
      <c r="C22" s="3" t="inlineStr">
        <is>
          <t>—</t>
        </is>
      </c>
      <c r="D22" s="4" t="n">
        <v>84</v>
      </c>
      <c r="E22" s="4" t="n">
        <v>20</v>
      </c>
      <c r="F22" s="4" t="n">
        <v>300</v>
      </c>
      <c r="G22" s="4">
        <f>ROUND(D22*F22/100,0)</f>
        <v/>
      </c>
      <c r="H22" s="4">
        <f>ROUND(E22*F22/100,0)</f>
        <v/>
      </c>
      <c r="I22" s="2" t="inlineStr">
        <is>
          <t>蛋白质(2g/100g)</t>
        </is>
      </c>
      <c r="J22" s="2" t="inlineStr">
        <is>
          <t>钙含量较高</t>
        </is>
      </c>
      <c r="K22" s="2" t="inlineStr">
        <is>
          <t>甜咸两版，加料热量不同</t>
        </is>
      </c>
      <c r="L22" s="2" t="inlineStr">
        <is>
          <t>黄豆</t>
        </is>
      </c>
    </row>
    <row r="23">
      <c r="A23" s="2" t="inlineStr">
        <is>
          <t>烤红薯</t>
        </is>
      </c>
      <c r="B23" s="2" t="inlineStr">
        <is>
          <t>主食</t>
        </is>
      </c>
      <c r="C23" s="3" t="inlineStr">
        <is>
          <t>—</t>
        </is>
      </c>
      <c r="D23" s="4" t="n">
        <v>431</v>
      </c>
      <c r="E23" s="4" t="n">
        <v>103</v>
      </c>
      <c r="F23" s="4" t="n">
        <v>200</v>
      </c>
      <c r="G23" s="4">
        <f>ROUND(D23*F23/100,0)</f>
        <v/>
      </c>
      <c r="H23" s="4">
        <f>ROUND(E23*F23/100,0)</f>
        <v/>
      </c>
      <c r="I23" s="2" t="inlineStr">
        <is>
          <t>碳水化合物(24g/100g)、膳食纤维(1.6g)</t>
        </is>
      </c>
      <c r="J23" s="2" t="inlineStr">
        <is>
          <t>β-胡萝卜素、维生素C</t>
        </is>
      </c>
      <c r="K23" s="2" t="inlineStr">
        <is>
          <t>天然甜味，营养丰富</t>
        </is>
      </c>
      <c r="L23" s="2" t="inlineStr">
        <is>
          <t>红薯</t>
        </is>
      </c>
    </row>
    <row r="24">
      <c r="A24" s="2" t="inlineStr">
        <is>
          <t>玉米（蒸/煮）</t>
        </is>
      </c>
      <c r="B24" s="2" t="inlineStr">
        <is>
          <t>主食</t>
        </is>
      </c>
      <c r="C24" s="3" t="inlineStr">
        <is>
          <t>—</t>
        </is>
      </c>
      <c r="D24" s="4" t="n">
        <v>435</v>
      </c>
      <c r="E24" s="4" t="n">
        <v>104</v>
      </c>
      <c r="F24" s="4" t="n">
        <v>200</v>
      </c>
      <c r="G24" s="4">
        <f>ROUND(D24*F24/100,0)</f>
        <v/>
      </c>
      <c r="H24" s="4">
        <f>ROUND(E24*F24/100,0)</f>
        <v/>
      </c>
      <c r="I24" s="2" t="inlineStr">
        <is>
          <t>碳水化合物(20g/100g)、膳食纤维(2.9g)</t>
        </is>
      </c>
      <c r="J24" s="2" t="inlineStr">
        <is>
          <t>维生素B1、玉米黄素</t>
        </is>
      </c>
      <c r="K24" s="2" t="inlineStr">
        <is>
          <t>饱腹感强</t>
        </is>
      </c>
      <c r="L24" s="2" t="inlineStr">
        <is>
          <t>玉米</t>
        </is>
      </c>
    </row>
    <row r="25">
      <c r="A25" s="2" t="inlineStr">
        <is>
          <t>土豆泥</t>
        </is>
      </c>
      <c r="B25" s="2" t="inlineStr">
        <is>
          <t>主食</t>
        </is>
      </c>
      <c r="C25" s="3" t="inlineStr">
        <is>
          <t>—</t>
        </is>
      </c>
      <c r="D25" s="4" t="n">
        <v>343</v>
      </c>
      <c r="E25" s="4" t="n">
        <v>82</v>
      </c>
      <c r="F25" s="4" t="n">
        <v>200</v>
      </c>
      <c r="G25" s="4">
        <f>ROUND(D25*F25/100,0)</f>
        <v/>
      </c>
      <c r="H25" s="4">
        <f>ROUND(E25*F25/100,0)</f>
        <v/>
      </c>
      <c r="I25" s="2" t="inlineStr">
        <is>
          <t>碳水化合物(17g/100g)</t>
        </is>
      </c>
      <c r="J25" s="2" t="inlineStr">
        <is>
          <t>维生素C、钾</t>
        </is>
      </c>
      <c r="K25" s="2" t="inlineStr">
        <is>
          <t>加黄油奶油后热量大增</t>
        </is>
      </c>
      <c r="L25" s="2" t="inlineStr">
        <is>
          <t>土豆、黄油</t>
        </is>
      </c>
    </row>
    <row r="26">
      <c r="A26" s="2" t="inlineStr">
        <is>
          <t>炒饭（蛋炒饭）</t>
        </is>
      </c>
      <c r="B26" s="2" t="inlineStr">
        <is>
          <t>主食</t>
        </is>
      </c>
      <c r="C26" s="3" t="inlineStr">
        <is>
          <t>—</t>
        </is>
      </c>
      <c r="D26" s="4" t="n">
        <v>712</v>
      </c>
      <c r="E26" s="4" t="n">
        <v>170</v>
      </c>
      <c r="F26" s="4" t="n">
        <v>300</v>
      </c>
      <c r="G26" s="4">
        <f>ROUND(D26*F26/100,0)</f>
        <v/>
      </c>
      <c r="H26" s="4">
        <f>ROUND(E26*F26/100,0)</f>
        <v/>
      </c>
      <c r="I26" s="2" t="inlineStr">
        <is>
          <t>碳水化合物(28g/100g)、蛋白质(5g)</t>
        </is>
      </c>
      <c r="J26" s="2" t="inlineStr">
        <is>
          <t>脂肪(5g)</t>
        </is>
      </c>
      <c r="K26" s="2" t="inlineStr">
        <is>
          <t>加叉烧等配料热量更高</t>
        </is>
      </c>
      <c r="L26" s="2" t="inlineStr">
        <is>
          <t>大米、鸡蛋（全蛋）、菜籽油</t>
        </is>
      </c>
    </row>
    <row r="27">
      <c r="A27" s="2" t="inlineStr">
        <is>
          <t>炒面</t>
        </is>
      </c>
      <c r="B27" s="2" t="inlineStr">
        <is>
          <t>主食</t>
        </is>
      </c>
      <c r="C27" s="3" t="inlineStr">
        <is>
          <t>—</t>
        </is>
      </c>
      <c r="D27" s="4" t="n">
        <v>628</v>
      </c>
      <c r="E27" s="4" t="n">
        <v>150</v>
      </c>
      <c r="F27" s="4" t="n">
        <v>300</v>
      </c>
      <c r="G27" s="4">
        <f>ROUND(D27*F27/100,0)</f>
        <v/>
      </c>
      <c r="H27" s="4">
        <f>ROUND(E27*F27/100,0)</f>
        <v/>
      </c>
      <c r="I27" s="2" t="inlineStr">
        <is>
          <t>碳水化合物(25g/100g)、蛋白质(5g)</t>
        </is>
      </c>
      <c r="J27" s="2" t="inlineStr">
        <is>
          <t>脂肪(5g)</t>
        </is>
      </c>
      <c r="K27" s="2" t="inlineStr">
        <is>
          <t>热量因配料有所不同</t>
        </is>
      </c>
      <c r="L27" s="2" t="inlineStr">
        <is>
          <t>面粉、蔬菜、菜籽油</t>
        </is>
      </c>
    </row>
    <row r="28">
      <c r="A28" s="2" t="inlineStr">
        <is>
          <t>泡面（方便面）</t>
        </is>
      </c>
      <c r="B28" s="2" t="inlineStr">
        <is>
          <t>主食</t>
        </is>
      </c>
      <c r="C28" s="3" t="inlineStr">
        <is>
          <t>—</t>
        </is>
      </c>
      <c r="D28" s="4" t="n">
        <v>1900</v>
      </c>
      <c r="E28" s="4" t="n">
        <v>454</v>
      </c>
      <c r="F28" s="4" t="n">
        <v>100</v>
      </c>
      <c r="G28" s="4">
        <f>ROUND(D28*F28/100,0)</f>
        <v/>
      </c>
      <c r="H28" s="4">
        <f>ROUND(E28*F28/100,0)</f>
        <v/>
      </c>
      <c r="I28" s="2" t="inlineStr">
        <is>
          <t>碳水化合物(60g/100g)、脂肪(21g)</t>
        </is>
      </c>
      <c r="J28" s="2" t="inlineStr">
        <is>
          <t>钠含量极高(1800mg+)</t>
        </is>
      </c>
      <c r="K28" s="2" t="inlineStr">
        <is>
          <t>高钠高热量，不宜频繁食用</t>
        </is>
      </c>
      <c r="L28" s="2" t="inlineStr">
        <is>
          <t>面粉、棕榈油</t>
        </is>
      </c>
    </row>
    <row r="29">
      <c r="A29" s="5" t="inlineStr">
        <is>
          <t>清炒时蔬（如油菜）</t>
        </is>
      </c>
      <c r="B29" s="5" t="inlineStr">
        <is>
          <t>菜肴</t>
        </is>
      </c>
      <c r="C29" s="6" t="inlineStr">
        <is>
          <t>家常菜</t>
        </is>
      </c>
      <c r="D29" s="7" t="n">
        <v>167</v>
      </c>
      <c r="E29" s="7" t="n">
        <v>40</v>
      </c>
      <c r="F29" s="7" t="n">
        <v>150</v>
      </c>
      <c r="G29" s="7">
        <f>ROUND(D29*F29/100,0)</f>
        <v/>
      </c>
      <c r="H29" s="7">
        <f>ROUND(E29*F29/100,0)</f>
        <v/>
      </c>
      <c r="I29" s="5" t="inlineStr">
        <is>
          <t>膳食纤维(1.5g/100g)、维生素C</t>
        </is>
      </c>
      <c r="J29" s="5" t="inlineStr">
        <is>
          <t>少量植物油</t>
        </is>
      </c>
      <c r="K29" s="5" t="inlineStr">
        <is>
          <t>低热量健康选择</t>
        </is>
      </c>
      <c r="L29" s="5" t="inlineStr">
        <is>
          <t>油菜、菜籽油、大蒜</t>
        </is>
      </c>
    </row>
    <row r="30">
      <c r="A30" s="5" t="inlineStr">
        <is>
          <t>蒜蓉炒菠菜</t>
        </is>
      </c>
      <c r="B30" s="5" t="inlineStr">
        <is>
          <t>菜肴</t>
        </is>
      </c>
      <c r="C30" s="6" t="inlineStr">
        <is>
          <t>家常菜</t>
        </is>
      </c>
      <c r="D30" s="7" t="n">
        <v>126</v>
      </c>
      <c r="E30" s="7" t="n">
        <v>30</v>
      </c>
      <c r="F30" s="7" t="n">
        <v>150</v>
      </c>
      <c r="G30" s="7">
        <f>ROUND(D30*F30/100,0)</f>
        <v/>
      </c>
      <c r="H30" s="7">
        <f>ROUND(E30*F30/100,0)</f>
        <v/>
      </c>
      <c r="I30" s="5" t="inlineStr">
        <is>
          <t>铁(2.9mg/100g)、维生素A、K</t>
        </is>
      </c>
      <c r="J30" s="5" t="inlineStr">
        <is>
          <t>叶酸、钙</t>
        </is>
      </c>
      <c r="K30" s="5" t="inlineStr">
        <is>
          <t>营养密度高</t>
        </is>
      </c>
      <c r="L30" s="5" t="inlineStr">
        <is>
          <t>菠菜、大蒜、菜籽油</t>
        </is>
      </c>
    </row>
    <row r="31">
      <c r="A31" s="5" t="inlineStr">
        <is>
          <t>麻婆豆腐</t>
        </is>
      </c>
      <c r="B31" s="5" t="inlineStr">
        <is>
          <t>菜肴</t>
        </is>
      </c>
      <c r="C31" s="8" t="inlineStr">
        <is>
          <t>川菜</t>
        </is>
      </c>
      <c r="D31" s="7" t="n">
        <v>502</v>
      </c>
      <c r="E31" s="7" t="n">
        <v>120</v>
      </c>
      <c r="F31" s="7" t="n">
        <v>200</v>
      </c>
      <c r="G31" s="7">
        <f>ROUND(D31*F31/100,0)</f>
        <v/>
      </c>
      <c r="H31" s="7">
        <f>ROUND(E31*F31/100,0)</f>
        <v/>
      </c>
      <c r="I31" s="5" t="inlineStr">
        <is>
          <t>蛋白质(8g/100g)、脂肪(8g)</t>
        </is>
      </c>
      <c r="J31" s="5" t="inlineStr">
        <is>
          <t>钙、铁</t>
        </is>
      </c>
      <c r="K31" s="5" t="inlineStr">
        <is>
          <t>花椒豆瓣酱钠含量高</t>
        </is>
      </c>
      <c r="L31" s="5" t="inlineStr">
        <is>
          <t>豆腐（北豆腐）、猪腿肉（瘦）、豆瓣酱</t>
        </is>
      </c>
    </row>
    <row r="32">
      <c r="A32" s="5" t="inlineStr">
        <is>
          <t>宫保鸡丁</t>
        </is>
      </c>
      <c r="B32" s="5" t="inlineStr">
        <is>
          <t>菜肴</t>
        </is>
      </c>
      <c r="C32" s="8" t="inlineStr">
        <is>
          <t>川菜</t>
        </is>
      </c>
      <c r="D32" s="7" t="n">
        <v>753</v>
      </c>
      <c r="E32" s="7" t="n">
        <v>180</v>
      </c>
      <c r="F32" s="7" t="n">
        <v>200</v>
      </c>
      <c r="G32" s="7">
        <f>ROUND(D32*F32/100,0)</f>
        <v/>
      </c>
      <c r="H32" s="7">
        <f>ROUND(E32*F32/100,0)</f>
        <v/>
      </c>
      <c r="I32" s="5" t="inlineStr">
        <is>
          <t>蛋白质(12g/100g)、脂肪(10g)</t>
        </is>
      </c>
      <c r="J32" s="5" t="inlineStr">
        <is>
          <t>辣椒素、花生脂肪</t>
        </is>
      </c>
      <c r="K32" s="5" t="inlineStr">
        <is>
          <t>外卖版本糖分较高</t>
        </is>
      </c>
      <c r="L32" s="5" t="inlineStr">
        <is>
          <t>鸡胸肉、花生、青椒、辣椒油</t>
        </is>
      </c>
    </row>
    <row r="33">
      <c r="A33" s="5" t="inlineStr">
        <is>
          <t>糖醋里脊</t>
        </is>
      </c>
      <c r="B33" s="5" t="inlineStr">
        <is>
          <t>菜肴</t>
        </is>
      </c>
      <c r="C33" s="9" t="inlineStr">
        <is>
          <t>苏菜</t>
        </is>
      </c>
      <c r="D33" s="7" t="n">
        <v>1046</v>
      </c>
      <c r="E33" s="7" t="n">
        <v>250</v>
      </c>
      <c r="F33" s="7" t="n">
        <v>200</v>
      </c>
      <c r="G33" s="7">
        <f>ROUND(D33*F33/100,0)</f>
        <v/>
      </c>
      <c r="H33" s="7">
        <f>ROUND(E33*F33/100,0)</f>
        <v/>
      </c>
      <c r="I33" s="5" t="inlineStr">
        <is>
          <t>蛋白质(12g/100g)、碳水化合物(20g)</t>
        </is>
      </c>
      <c r="J33" s="5" t="inlineStr">
        <is>
          <t>脂肪(12g)</t>
        </is>
      </c>
      <c r="K33" s="5" t="inlineStr">
        <is>
          <t>油炸+高糖，热量较高</t>
        </is>
      </c>
      <c r="L33" s="5" t="inlineStr">
        <is>
          <t>猪里脊、白糖、醋、菜籽油</t>
        </is>
      </c>
    </row>
    <row r="34">
      <c r="A34" s="5" t="inlineStr">
        <is>
          <t>红烧肉</t>
        </is>
      </c>
      <c r="B34" s="5" t="inlineStr">
        <is>
          <t>菜肴</t>
        </is>
      </c>
      <c r="C34" s="9" t="inlineStr">
        <is>
          <t>苏菜</t>
        </is>
      </c>
      <c r="D34" s="7" t="n">
        <v>1380</v>
      </c>
      <c r="E34" s="7" t="n">
        <v>330</v>
      </c>
      <c r="F34" s="7" t="n">
        <v>150</v>
      </c>
      <c r="G34" s="7">
        <f>ROUND(D34*F34/100,0)</f>
        <v/>
      </c>
      <c r="H34" s="7">
        <f>ROUND(E34*F34/100,0)</f>
        <v/>
      </c>
      <c r="I34" s="5" t="inlineStr">
        <is>
          <t>脂肪(30g/100g)、蛋白质(14g)</t>
        </is>
      </c>
      <c r="J34" s="5" t="inlineStr">
        <is>
          <t>胶原蛋白(猪皮)</t>
        </is>
      </c>
      <c r="K34" s="5" t="inlineStr">
        <is>
          <t>高热量，含大量饱和脂肪</t>
        </is>
      </c>
      <c r="L34" s="5" t="inlineStr">
        <is>
          <t>猪五花肉、生抽（酱油）、白糖</t>
        </is>
      </c>
    </row>
    <row r="35">
      <c r="A35" s="5" t="inlineStr">
        <is>
          <t>红烧排骨</t>
        </is>
      </c>
      <c r="B35" s="5" t="inlineStr">
        <is>
          <t>菜肴</t>
        </is>
      </c>
      <c r="C35" s="6" t="inlineStr">
        <is>
          <t>家常菜</t>
        </is>
      </c>
      <c r="D35" s="7" t="n">
        <v>1172</v>
      </c>
      <c r="E35" s="7" t="n">
        <v>280</v>
      </c>
      <c r="F35" s="7" t="n">
        <v>200</v>
      </c>
      <c r="G35" s="7">
        <f>ROUND(D35*F35/100,0)</f>
        <v/>
      </c>
      <c r="H35" s="7">
        <f>ROUND(E35*F35/100,0)</f>
        <v/>
      </c>
      <c r="I35" s="5" t="inlineStr">
        <is>
          <t>蛋白质(15g/100g)、脂肪(20g)</t>
        </is>
      </c>
      <c r="J35" s="5" t="inlineStr">
        <is>
          <t>磷、锌</t>
        </is>
      </c>
      <c r="K35" s="5" t="inlineStr">
        <is>
          <t>骨头重量需扣除</t>
        </is>
      </c>
      <c r="L35" s="5" t="inlineStr">
        <is>
          <t>猪大排、生抽（酱油）</t>
        </is>
      </c>
    </row>
    <row r="36">
      <c r="A36" s="5" t="inlineStr">
        <is>
          <t>回锅肉</t>
        </is>
      </c>
      <c r="B36" s="5" t="inlineStr">
        <is>
          <t>菜肴</t>
        </is>
      </c>
      <c r="C36" s="8" t="inlineStr">
        <is>
          <t>川菜</t>
        </is>
      </c>
      <c r="D36" s="7" t="n">
        <v>1130</v>
      </c>
      <c r="E36" s="7" t="n">
        <v>270</v>
      </c>
      <c r="F36" s="7" t="n">
        <v>200</v>
      </c>
      <c r="G36" s="7">
        <f>ROUND(D36*F36/100,0)</f>
        <v/>
      </c>
      <c r="H36" s="7">
        <f>ROUND(E36*F36/100,0)</f>
        <v/>
      </c>
      <c r="I36" s="5" t="inlineStr">
        <is>
          <t>脂肪(22g/100g)、蛋白质(12g)</t>
        </is>
      </c>
      <c r="J36" s="5" t="inlineStr">
        <is>
          <t>豆瓣酱含钠高</t>
        </is>
      </c>
      <c r="K36" s="5" t="inlineStr">
        <is>
          <t>高脂高热量</t>
        </is>
      </c>
      <c r="L36" s="5" t="inlineStr">
        <is>
          <t>猪五花肉、青椒、豆瓣酱</t>
        </is>
      </c>
    </row>
    <row r="37">
      <c r="A37" s="5" t="inlineStr">
        <is>
          <t>水煮鱼</t>
        </is>
      </c>
      <c r="B37" s="5" t="inlineStr">
        <is>
          <t>菜肴</t>
        </is>
      </c>
      <c r="C37" s="8" t="inlineStr">
        <is>
          <t>川菜</t>
        </is>
      </c>
      <c r="D37" s="7" t="n">
        <v>669</v>
      </c>
      <c r="E37" s="7" t="n">
        <v>160</v>
      </c>
      <c r="F37" s="7" t="n">
        <v>300</v>
      </c>
      <c r="G37" s="7">
        <f>ROUND(D37*F37/100,0)</f>
        <v/>
      </c>
      <c r="H37" s="7">
        <f>ROUND(E37*F37/100,0)</f>
        <v/>
      </c>
      <c r="I37" s="5" t="inlineStr">
        <is>
          <t>蛋白质(15g/100g)、脂肪(8g)</t>
        </is>
      </c>
      <c r="J37" s="5" t="inlineStr">
        <is>
          <t>辣椒素、花椒素</t>
        </is>
      </c>
      <c r="K37" s="5" t="inlineStr">
        <is>
          <t>油量大，实际热量可能更高</t>
        </is>
      </c>
      <c r="L37" s="5" t="inlineStr">
        <is>
          <t>草鱼、辣椒油、豆瓣酱</t>
        </is>
      </c>
    </row>
    <row r="38">
      <c r="A38" s="5" t="inlineStr">
        <is>
          <t>清蒸鱼</t>
        </is>
      </c>
      <c r="B38" s="5" t="inlineStr">
        <is>
          <t>菜肴</t>
        </is>
      </c>
      <c r="C38" s="10" t="inlineStr">
        <is>
          <t>粤菜</t>
        </is>
      </c>
      <c r="D38" s="7" t="n">
        <v>418</v>
      </c>
      <c r="E38" s="7" t="n">
        <v>100</v>
      </c>
      <c r="F38" s="7" t="n">
        <v>300</v>
      </c>
      <c r="G38" s="7">
        <f>ROUND(D38*F38/100,0)</f>
        <v/>
      </c>
      <c r="H38" s="7">
        <f>ROUND(E38*F38/100,0)</f>
        <v/>
      </c>
      <c r="I38" s="5" t="inlineStr">
        <is>
          <t>蛋白质(18g/100g)、脂肪(2g)</t>
        </is>
      </c>
      <c r="J38" s="5" t="inlineStr">
        <is>
          <t>DHA、EPA、维生素D</t>
        </is>
      </c>
      <c r="K38" s="5" t="inlineStr">
        <is>
          <t>低热量高蛋白优选</t>
        </is>
      </c>
      <c r="L38" s="5" t="inlineStr">
        <is>
          <t>鲈鱼、生抽（酱油）、生姜</t>
        </is>
      </c>
    </row>
    <row r="39">
      <c r="A39" s="5" t="inlineStr">
        <is>
          <t>番茄炒鸡蛋</t>
        </is>
      </c>
      <c r="B39" s="5" t="inlineStr">
        <is>
          <t>菜肴</t>
        </is>
      </c>
      <c r="C39" s="6" t="inlineStr">
        <is>
          <t>家常菜</t>
        </is>
      </c>
      <c r="D39" s="7" t="n">
        <v>418</v>
      </c>
      <c r="E39" s="7" t="n">
        <v>100</v>
      </c>
      <c r="F39" s="7" t="n">
        <v>200</v>
      </c>
      <c r="G39" s="7">
        <f>ROUND(D39*F39/100,0)</f>
        <v/>
      </c>
      <c r="H39" s="7">
        <f>ROUND(E39*F39/100,0)</f>
        <v/>
      </c>
      <c r="I39" s="5" t="inlineStr">
        <is>
          <t>蛋白质(7g/100g)、维生素C</t>
        </is>
      </c>
      <c r="J39" s="5" t="inlineStr">
        <is>
          <t>番茄红素、卵磷脂</t>
        </is>
      </c>
      <c r="K39" s="5" t="inlineStr">
        <is>
          <t>家常菜热量适中</t>
        </is>
      </c>
      <c r="L39" s="5" t="inlineStr">
        <is>
          <t>番茄、鸡蛋（全蛋）、菜籽油</t>
        </is>
      </c>
    </row>
    <row r="40">
      <c r="A40" s="5" t="inlineStr">
        <is>
          <t>西兰花炒肉</t>
        </is>
      </c>
      <c r="B40" s="5" t="inlineStr">
        <is>
          <t>菜肴</t>
        </is>
      </c>
      <c r="C40" s="11" t="inlineStr">
        <is>
          <t>浙菜</t>
        </is>
      </c>
      <c r="D40" s="7" t="n">
        <v>502</v>
      </c>
      <c r="E40" s="7" t="n">
        <v>120</v>
      </c>
      <c r="F40" s="7" t="n">
        <v>200</v>
      </c>
      <c r="G40" s="7">
        <f>ROUND(D40*F40/100,0)</f>
        <v/>
      </c>
      <c r="H40" s="7">
        <f>ROUND(E40*F40/100,0)</f>
        <v/>
      </c>
      <c r="I40" s="5" t="inlineStr">
        <is>
          <t>蛋白质(10g/100g)、维生素C</t>
        </is>
      </c>
      <c r="J40" s="5" t="inlineStr">
        <is>
          <t>膳食纤维、铁</t>
        </is>
      </c>
      <c r="K40" s="5" t="inlineStr">
        <is>
          <t>高营养低热量</t>
        </is>
      </c>
      <c r="L40" s="5" t="inlineStr">
        <is>
          <t>西兰花、猪腿肉（瘦）、蒜</t>
        </is>
      </c>
    </row>
    <row r="41">
      <c r="A41" s="5" t="inlineStr">
        <is>
          <t>地三鲜</t>
        </is>
      </c>
      <c r="B41" s="5" t="inlineStr">
        <is>
          <t>菜肴</t>
        </is>
      </c>
      <c r="C41" s="12" t="inlineStr">
        <is>
          <t>东北菜</t>
        </is>
      </c>
      <c r="D41" s="7" t="n">
        <v>628</v>
      </c>
      <c r="E41" s="7" t="n">
        <v>150</v>
      </c>
      <c r="F41" s="7" t="n">
        <v>200</v>
      </c>
      <c r="G41" s="7">
        <f>ROUND(D41*F41/100,0)</f>
        <v/>
      </c>
      <c r="H41" s="7">
        <f>ROUND(E41*F41/100,0)</f>
        <v/>
      </c>
      <c r="I41" s="5" t="inlineStr">
        <is>
          <t>膳食纤维(2g/100g)、维生素C</t>
        </is>
      </c>
      <c r="J41" s="5" t="inlineStr">
        <is>
          <t>茄子吸油多，脂肪较高</t>
        </is>
      </c>
      <c r="K41" s="5" t="inlineStr">
        <is>
          <t>茄子油炸后热量显著增加</t>
        </is>
      </c>
      <c r="L41" s="5" t="inlineStr">
        <is>
          <t>茄子、土豆、青椒、菜籽油</t>
        </is>
      </c>
    </row>
    <row r="42">
      <c r="A42" s="5" t="inlineStr">
        <is>
          <t>干煸四季豆</t>
        </is>
      </c>
      <c r="B42" s="5" t="inlineStr">
        <is>
          <t>菜肴</t>
        </is>
      </c>
      <c r="C42" s="8" t="inlineStr">
        <is>
          <t>川菜</t>
        </is>
      </c>
      <c r="D42" s="7" t="n">
        <v>836</v>
      </c>
      <c r="E42" s="7" t="n">
        <v>200</v>
      </c>
      <c r="F42" s="7" t="n">
        <v>150</v>
      </c>
      <c r="G42" s="7">
        <f>ROUND(D42*F42/100,0)</f>
        <v/>
      </c>
      <c r="H42" s="7">
        <f>ROUND(E42*F42/100,0)</f>
        <v/>
      </c>
      <c r="I42" s="5" t="inlineStr">
        <is>
          <t>膳食纤维(2g/100g)、维生素C</t>
        </is>
      </c>
      <c r="J42" s="5" t="inlineStr">
        <is>
          <t>脂肪(12g)、钠较高</t>
        </is>
      </c>
      <c r="K42" s="5" t="inlineStr">
        <is>
          <t>干煸用油多</t>
        </is>
      </c>
      <c r="L42" s="5" t="inlineStr">
        <is>
          <t>四季豆、猪腿肉（瘦）、菜籽油</t>
        </is>
      </c>
    </row>
    <row r="43">
      <c r="A43" s="5" t="inlineStr">
        <is>
          <t>蒸蛋羹</t>
        </is>
      </c>
      <c r="B43" s="5" t="inlineStr">
        <is>
          <t>菜肴</t>
        </is>
      </c>
      <c r="C43" s="6" t="inlineStr">
        <is>
          <t>家常菜</t>
        </is>
      </c>
      <c r="D43" s="7" t="n">
        <v>418</v>
      </c>
      <c r="E43" s="7" t="n">
        <v>100</v>
      </c>
      <c r="F43" s="7" t="n">
        <v>200</v>
      </c>
      <c r="G43" s="7">
        <f>ROUND(D43*F43/100,0)</f>
        <v/>
      </c>
      <c r="H43" s="7">
        <f>ROUND(E43*F43/100,0)</f>
        <v/>
      </c>
      <c r="I43" s="5" t="inlineStr">
        <is>
          <t>蛋白质(8g/100g)、卵磷脂</t>
        </is>
      </c>
      <c r="J43" s="5" t="inlineStr">
        <is>
          <t>维生素D、B12</t>
        </is>
      </c>
      <c r="K43" s="5" t="inlineStr">
        <is>
          <t>低热量高蛋白，易消化</t>
        </is>
      </c>
      <c r="L43" s="5" t="inlineStr">
        <is>
          <t>鸡蛋（全蛋）</t>
        </is>
      </c>
    </row>
    <row r="44">
      <c r="A44" s="5" t="inlineStr">
        <is>
          <t>荷包蛋</t>
        </is>
      </c>
      <c r="B44" s="5" t="inlineStr">
        <is>
          <t>菜肴</t>
        </is>
      </c>
      <c r="C44" s="6" t="inlineStr">
        <is>
          <t>家常菜</t>
        </is>
      </c>
      <c r="D44" s="7" t="n">
        <v>669</v>
      </c>
      <c r="E44" s="7" t="n">
        <v>160</v>
      </c>
      <c r="F44" s="7" t="n">
        <v>60</v>
      </c>
      <c r="G44" s="7">
        <f>ROUND(D44*F44/100,0)</f>
        <v/>
      </c>
      <c r="H44" s="7">
        <f>ROUND(E44*F44/100,0)</f>
        <v/>
      </c>
      <c r="I44" s="5" t="inlineStr">
        <is>
          <t>蛋白质(12g/100g)、脂肪(11g)</t>
        </is>
      </c>
      <c r="J44" s="5" t="inlineStr">
        <is>
          <t>卵磷脂、维生素D</t>
        </is>
      </c>
      <c r="K44" s="5" t="inlineStr">
        <is>
          <t>煎蛋用油影响热量</t>
        </is>
      </c>
      <c r="L44" s="5" t="inlineStr">
        <is>
          <t>鸡蛋（全蛋）、菜籽油</t>
        </is>
      </c>
    </row>
    <row r="45">
      <c r="A45" s="5" t="inlineStr">
        <is>
          <t>炒猪肝</t>
        </is>
      </c>
      <c r="B45" s="5" t="inlineStr">
        <is>
          <t>菜肴</t>
        </is>
      </c>
      <c r="C45" s="13" t="inlineStr">
        <is>
          <t>鲁菜</t>
        </is>
      </c>
      <c r="D45" s="7" t="n">
        <v>544</v>
      </c>
      <c r="E45" s="7" t="n">
        <v>130</v>
      </c>
      <c r="F45" s="7" t="n">
        <v>150</v>
      </c>
      <c r="G45" s="7">
        <f>ROUND(D45*F45/100,0)</f>
        <v/>
      </c>
      <c r="H45" s="7">
        <f>ROUND(E45*F45/100,0)</f>
        <v/>
      </c>
      <c r="I45" s="5" t="inlineStr">
        <is>
          <t>蛋白质(19g/100g)、铁(22mg)</t>
        </is>
      </c>
      <c r="J45" s="5" t="inlineStr">
        <is>
          <t>维生素A(极高)、B12</t>
        </is>
      </c>
      <c r="K45" s="5" t="inlineStr">
        <is>
          <t>维生素A含量极高，不宜过量</t>
        </is>
      </c>
      <c r="L45" s="5" t="inlineStr">
        <is>
          <t>猪肝、洋葱、菜籽油</t>
        </is>
      </c>
    </row>
    <row r="46">
      <c r="A46" s="5" t="inlineStr">
        <is>
          <t>烤鸭（片鸭肉）</t>
        </is>
      </c>
      <c r="B46" s="5" t="inlineStr">
        <is>
          <t>菜肴</t>
        </is>
      </c>
      <c r="C46" s="10" t="inlineStr">
        <is>
          <t>粤菜</t>
        </is>
      </c>
      <c r="D46" s="7" t="n">
        <v>1047</v>
      </c>
      <c r="E46" s="7" t="n">
        <v>250</v>
      </c>
      <c r="F46" s="7" t="n">
        <v>150</v>
      </c>
      <c r="G46" s="7">
        <f>ROUND(D46*F46/100,0)</f>
        <v/>
      </c>
      <c r="H46" s="7">
        <f>ROUND(E46*F46/100,0)</f>
        <v/>
      </c>
      <c r="I46" s="5" t="inlineStr">
        <is>
          <t>脂肪(22g/100g)、蛋白质(15g)</t>
        </is>
      </c>
      <c r="J46" s="5" t="inlineStr">
        <is>
          <t>铁、锌</t>
        </is>
      </c>
      <c r="K46" s="5" t="inlineStr">
        <is>
          <t>北京烤鸭，卷饼酱料额外增加热量</t>
        </is>
      </c>
      <c r="L46" s="5" t="inlineStr">
        <is>
          <t>鸭肉（去皮）、鸭皮</t>
        </is>
      </c>
    </row>
    <row r="47">
      <c r="A47" s="5" t="inlineStr">
        <is>
          <t>白切鸡</t>
        </is>
      </c>
      <c r="B47" s="5" t="inlineStr">
        <is>
          <t>菜肴</t>
        </is>
      </c>
      <c r="C47" s="10" t="inlineStr">
        <is>
          <t>粤菜</t>
        </is>
      </c>
      <c r="D47" s="7" t="n">
        <v>586</v>
      </c>
      <c r="E47" s="7" t="n">
        <v>140</v>
      </c>
      <c r="F47" s="7" t="n">
        <v>200</v>
      </c>
      <c r="G47" s="7">
        <f>ROUND(D47*F47/100,0)</f>
        <v/>
      </c>
      <c r="H47" s="7">
        <f>ROUND(E47*F47/100,0)</f>
        <v/>
      </c>
      <c r="I47" s="5" t="inlineStr">
        <is>
          <t>蛋白质(19g/100g)、脂肪(6g)</t>
        </is>
      </c>
      <c r="J47" s="5" t="inlineStr">
        <is>
          <t>烟酸、磷</t>
        </is>
      </c>
      <c r="K47" s="5" t="inlineStr">
        <is>
          <t>热量适中，蘸酱增加钠摄入</t>
        </is>
      </c>
      <c r="L47" s="5" t="inlineStr">
        <is>
          <t>鸡腿肉（去皮）、生姜、香葱/小葱</t>
        </is>
      </c>
    </row>
    <row r="48">
      <c r="A48" s="5" t="inlineStr">
        <is>
          <t>小炒黄牛肉</t>
        </is>
      </c>
      <c r="B48" s="5" t="inlineStr">
        <is>
          <t>菜肴</t>
        </is>
      </c>
      <c r="C48" s="14" t="inlineStr">
        <is>
          <t>湘菜</t>
        </is>
      </c>
      <c r="D48" s="7" t="n">
        <v>753</v>
      </c>
      <c r="E48" s="7" t="n">
        <v>180</v>
      </c>
      <c r="F48" s="7" t="n">
        <v>200</v>
      </c>
      <c r="G48" s="7">
        <f>ROUND(D48*F48/100,0)</f>
        <v/>
      </c>
      <c r="H48" s="7">
        <f>ROUND(E48*F48/100,0)</f>
        <v/>
      </c>
      <c r="I48" s="5" t="inlineStr">
        <is>
          <t>蛋白质(18g/100g)、铁(2.8mg)</t>
        </is>
      </c>
      <c r="J48" s="5" t="inlineStr">
        <is>
          <t>锌、B12</t>
        </is>
      </c>
      <c r="K48" s="5" t="inlineStr">
        <is>
          <t>牛肉热量适中</t>
        </is>
      </c>
      <c r="L48" s="5" t="inlineStr">
        <is>
          <t>牛里脊、青椒、菜籽油</t>
        </is>
      </c>
    </row>
    <row r="49">
      <c r="A49" s="5" t="inlineStr">
        <is>
          <t>韭菜炒鸡蛋</t>
        </is>
      </c>
      <c r="B49" s="5" t="inlineStr">
        <is>
          <t>菜肴</t>
        </is>
      </c>
      <c r="C49" s="6" t="inlineStr">
        <is>
          <t>家常菜</t>
        </is>
      </c>
      <c r="D49" s="7" t="n">
        <v>502</v>
      </c>
      <c r="E49" s="7" t="n">
        <v>120</v>
      </c>
      <c r="F49" s="7" t="n">
        <v>200</v>
      </c>
      <c r="G49" s="7">
        <f>ROUND(D49*F49/100,0)</f>
        <v/>
      </c>
      <c r="H49" s="7">
        <f>ROUND(E49*F49/100,0)</f>
        <v/>
      </c>
      <c r="I49" s="5" t="inlineStr">
        <is>
          <t>蛋白质(7g/100g)、维生素K</t>
        </is>
      </c>
      <c r="J49" s="5" t="inlineStr">
        <is>
          <t>膳食纤维、叶酸</t>
        </is>
      </c>
      <c r="K49" s="5" t="inlineStr">
        <is>
          <t>营养搭配合理</t>
        </is>
      </c>
      <c r="L49" s="5" t="inlineStr">
        <is>
          <t>韭菜、鸡蛋（全蛋）、菜籽油</t>
        </is>
      </c>
    </row>
    <row r="50">
      <c r="A50" s="5" t="inlineStr">
        <is>
          <t>蚝油生菜</t>
        </is>
      </c>
      <c r="B50" s="5" t="inlineStr">
        <is>
          <t>菜肴</t>
        </is>
      </c>
      <c r="C50" s="10" t="inlineStr">
        <is>
          <t>粤菜</t>
        </is>
      </c>
      <c r="D50" s="7" t="n">
        <v>167</v>
      </c>
      <c r="E50" s="7" t="n">
        <v>40</v>
      </c>
      <c r="F50" s="7" t="n">
        <v>200</v>
      </c>
      <c r="G50" s="7">
        <f>ROUND(D50*F50/100,0)</f>
        <v/>
      </c>
      <c r="H50" s="7">
        <f>ROUND(E50*F50/100,0)</f>
        <v/>
      </c>
      <c r="I50" s="5" t="inlineStr">
        <is>
          <t>膳食纤维(1g/100g)、维生素C</t>
        </is>
      </c>
      <c r="J50" s="5" t="inlineStr">
        <is>
          <t>蚝油含钠较高</t>
        </is>
      </c>
      <c r="K50" s="5" t="inlineStr">
        <is>
          <t>低热量，适合减脂</t>
        </is>
      </c>
      <c r="L50" s="5" t="inlineStr">
        <is>
          <t>生菜、蚝油、菜籽油</t>
        </is>
      </c>
    </row>
    <row r="51">
      <c r="A51" s="5" t="inlineStr">
        <is>
          <t>夫妻肺片</t>
        </is>
      </c>
      <c r="B51" s="5" t="inlineStr">
        <is>
          <t>菜肴</t>
        </is>
      </c>
      <c r="C51" s="8" t="inlineStr">
        <is>
          <t>川菜</t>
        </is>
      </c>
      <c r="D51" s="7" t="n">
        <v>753</v>
      </c>
      <c r="E51" s="7" t="n">
        <v>180</v>
      </c>
      <c r="F51" s="7" t="n">
        <v>150</v>
      </c>
      <c r="G51" s="7">
        <f>ROUND(D51*F51/100,0)</f>
        <v/>
      </c>
      <c r="H51" s="7">
        <f>ROUND(E51*F51/100,0)</f>
        <v/>
      </c>
      <c r="I51" s="5" t="inlineStr">
        <is>
          <t>蛋白质(16g/100g)、脂肪(10g)</t>
        </is>
      </c>
      <c r="J51" s="5" t="inlineStr">
        <is>
          <t>辣椒素、花椒素、钠高</t>
        </is>
      </c>
      <c r="K51" s="5" t="inlineStr">
        <is>
          <t>内脏类，胆固醇较高</t>
        </is>
      </c>
      <c r="L51" s="5" t="inlineStr">
        <is>
          <t>牛肚、牛肝、芝麻酱、辣椒油</t>
        </is>
      </c>
    </row>
    <row r="52">
      <c r="A52" s="5" t="inlineStr">
        <is>
          <t>酸菜鱼</t>
        </is>
      </c>
      <c r="B52" s="5" t="inlineStr">
        <is>
          <t>菜肴</t>
        </is>
      </c>
      <c r="C52" s="8" t="inlineStr">
        <is>
          <t>川菜</t>
        </is>
      </c>
      <c r="D52" s="7" t="n">
        <v>628</v>
      </c>
      <c r="E52" s="7" t="n">
        <v>150</v>
      </c>
      <c r="F52" s="7" t="n">
        <v>350</v>
      </c>
      <c r="G52" s="7">
        <f>ROUND(D52*F52/100,0)</f>
        <v/>
      </c>
      <c r="H52" s="7">
        <f>ROUND(E52*F52/100,0)</f>
        <v/>
      </c>
      <c r="I52" s="5" t="inlineStr">
        <is>
          <t>蛋白质(14g/100g)、脂肪(7g)</t>
        </is>
      </c>
      <c r="J52" s="5" t="inlineStr">
        <is>
          <t>酸菜含钠高</t>
        </is>
      </c>
      <c r="K52" s="5" t="inlineStr">
        <is>
          <t>汤底热量较高</t>
        </is>
      </c>
      <c r="L52" s="5" t="inlineStr">
        <is>
          <t>草鱼、酸菜、菜籽油</t>
        </is>
      </c>
    </row>
    <row r="53">
      <c r="A53" s="5" t="inlineStr">
        <is>
          <t>鱼香肉丝</t>
        </is>
      </c>
      <c r="B53" s="5" t="inlineStr">
        <is>
          <t>菜肴</t>
        </is>
      </c>
      <c r="C53" s="8" t="inlineStr">
        <is>
          <t>川菜</t>
        </is>
      </c>
      <c r="D53" s="7" t="n">
        <v>795</v>
      </c>
      <c r="E53" s="7" t="n">
        <v>190</v>
      </c>
      <c r="F53" s="7" t="n">
        <v>200</v>
      </c>
      <c r="G53" s="7">
        <f>ROUND(D53*F53/100,0)</f>
        <v/>
      </c>
      <c r="H53" s="7">
        <f>ROUND(E53*F53/100,0)</f>
        <v/>
      </c>
      <c r="I53" s="5" t="inlineStr">
        <is>
          <t>蛋白质(10g/100g)、脂肪(12g)</t>
        </is>
      </c>
      <c r="J53" s="5" t="inlineStr">
        <is>
          <t>糖分较高、钠高</t>
        </is>
      </c>
      <c r="K53" s="5" t="inlineStr">
        <is>
          <t>调味较重</t>
        </is>
      </c>
      <c r="L53" s="5" t="inlineStr">
        <is>
          <t>猪里脊、木耳（干）、胡萝卜、豆瓣酱</t>
        </is>
      </c>
    </row>
    <row r="54">
      <c r="A54" s="15" t="inlineStr">
        <is>
          <t>紫菜蛋花汤</t>
        </is>
      </c>
      <c r="B54" s="15" t="inlineStr">
        <is>
          <t>汤羹</t>
        </is>
      </c>
      <c r="C54" s="13" t="inlineStr">
        <is>
          <t>—</t>
        </is>
      </c>
      <c r="D54" s="16" t="n">
        <v>84</v>
      </c>
      <c r="E54" s="16" t="n">
        <v>20</v>
      </c>
      <c r="F54" s="16" t="n">
        <v>400</v>
      </c>
      <c r="G54" s="16">
        <f>ROUND(D54*F54/100,0)</f>
        <v/>
      </c>
      <c r="H54" s="16">
        <f>ROUND(E54*F54/100,0)</f>
        <v/>
      </c>
      <c r="I54" s="15" t="inlineStr">
        <is>
          <t>蛋白质(2g/100g)、碘</t>
        </is>
      </c>
      <c r="J54" s="15" t="inlineStr">
        <is>
          <t>维生素K、铁</t>
        </is>
      </c>
      <c r="K54" s="15" t="inlineStr">
        <is>
          <t>低热量，补碘佳品</t>
        </is>
      </c>
      <c r="L54" s="15" t="inlineStr">
        <is>
          <t>紫菜（干）、鸡蛋（全蛋）</t>
        </is>
      </c>
    </row>
    <row r="55">
      <c r="A55" s="15" t="inlineStr">
        <is>
          <t>番茄鸡蛋汤</t>
        </is>
      </c>
      <c r="B55" s="15" t="inlineStr">
        <is>
          <t>汤羹</t>
        </is>
      </c>
      <c r="C55" s="13" t="inlineStr">
        <is>
          <t>—</t>
        </is>
      </c>
      <c r="D55" s="16" t="n">
        <v>126</v>
      </c>
      <c r="E55" s="16" t="n">
        <v>30</v>
      </c>
      <c r="F55" s="16" t="n">
        <v>400</v>
      </c>
      <c r="G55" s="16">
        <f>ROUND(D55*F55/100,0)</f>
        <v/>
      </c>
      <c r="H55" s="16">
        <f>ROUND(E55*F55/100,0)</f>
        <v/>
      </c>
      <c r="I55" s="15" t="inlineStr">
        <is>
          <t>蛋白质(2g/100g)、番茄红素</t>
        </is>
      </c>
      <c r="J55" s="15" t="inlineStr">
        <is>
          <t>维生素C、卵磷脂</t>
        </is>
      </c>
      <c r="K55" s="15" t="inlineStr">
        <is>
          <t>热量低，营养丰富</t>
        </is>
      </c>
      <c r="L55" s="15" t="inlineStr">
        <is>
          <t>番茄、鸡蛋（全蛋）</t>
        </is>
      </c>
    </row>
    <row r="56">
      <c r="A56" s="15" t="inlineStr">
        <is>
          <t>排骨萝卜汤</t>
        </is>
      </c>
      <c r="B56" s="15" t="inlineStr">
        <is>
          <t>汤羹</t>
        </is>
      </c>
      <c r="C56" s="13" t="inlineStr">
        <is>
          <t>—</t>
        </is>
      </c>
      <c r="D56" s="16" t="n">
        <v>234</v>
      </c>
      <c r="E56" s="16" t="n">
        <v>56</v>
      </c>
      <c r="F56" s="16" t="n">
        <v>400</v>
      </c>
      <c r="G56" s="16">
        <f>ROUND(D56*F56/100,0)</f>
        <v/>
      </c>
      <c r="H56" s="16">
        <f>ROUND(E56*F56/100,0)</f>
        <v/>
      </c>
      <c r="I56" s="15" t="inlineStr">
        <is>
          <t>蛋白质(5g/100g)、钙</t>
        </is>
      </c>
      <c r="J56" s="15" t="inlineStr">
        <is>
          <t>维生素C（萝卜）、胶原蛋白</t>
        </is>
      </c>
      <c r="K56" s="15" t="inlineStr">
        <is>
          <t>炖汤浮油热量较高</t>
        </is>
      </c>
      <c r="L56" s="15" t="inlineStr">
        <is>
          <t>猪大排、白萝卜</t>
        </is>
      </c>
    </row>
    <row r="57">
      <c r="A57" s="15" t="inlineStr">
        <is>
          <t>冬瓜排骨汤</t>
        </is>
      </c>
      <c r="B57" s="15" t="inlineStr">
        <is>
          <t>汤羹</t>
        </is>
      </c>
      <c r="C57" s="13" t="inlineStr">
        <is>
          <t>—</t>
        </is>
      </c>
      <c r="D57" s="16" t="n">
        <v>197</v>
      </c>
      <c r="E57" s="16" t="n">
        <v>47</v>
      </c>
      <c r="F57" s="16" t="n">
        <v>400</v>
      </c>
      <c r="G57" s="16">
        <f>ROUND(D57*F57/100,0)</f>
        <v/>
      </c>
      <c r="H57" s="16">
        <f>ROUND(E57*F57/100,0)</f>
        <v/>
      </c>
      <c r="I57" s="15" t="inlineStr">
        <is>
          <t>蛋白质(4g/100g)、钾</t>
        </is>
      </c>
      <c r="J57" s="15" t="inlineStr">
        <is>
          <t>维生素C、膳食纤维</t>
        </is>
      </c>
      <c r="K57" s="15" t="inlineStr">
        <is>
          <t>冬瓜利水消肿</t>
        </is>
      </c>
      <c r="L57" s="15" t="inlineStr">
        <is>
          <t>猪大排、冬瓜</t>
        </is>
      </c>
    </row>
    <row r="58">
      <c r="A58" s="15" t="inlineStr">
        <is>
          <t>酸辣汤</t>
        </is>
      </c>
      <c r="B58" s="15" t="inlineStr">
        <is>
          <t>汤羹</t>
        </is>
      </c>
      <c r="C58" s="13" t="inlineStr">
        <is>
          <t>—</t>
        </is>
      </c>
      <c r="D58" s="16" t="n">
        <v>234</v>
      </c>
      <c r="E58" s="16" t="n">
        <v>56</v>
      </c>
      <c r="F58" s="16" t="n">
        <v>400</v>
      </c>
      <c r="G58" s="16">
        <f>ROUND(D58*F58/100,0)</f>
        <v/>
      </c>
      <c r="H58" s="16">
        <f>ROUND(E58*F58/100,0)</f>
        <v/>
      </c>
      <c r="I58" s="15" t="inlineStr">
        <is>
          <t>蛋白质(3g/100g)、碳水化合物(4g)</t>
        </is>
      </c>
      <c r="J58" s="15" t="inlineStr">
        <is>
          <t>胡椒素、醋酸</t>
        </is>
      </c>
      <c r="K58" s="15" t="inlineStr">
        <is>
          <t>钠含量较高</t>
        </is>
      </c>
      <c r="L58" s="15" t="inlineStr">
        <is>
          <t>鸡蛋（全蛋）、豆腐（南豆腐）、木耳（干）、醋</t>
        </is>
      </c>
    </row>
    <row r="59">
      <c r="A59" s="15" t="inlineStr">
        <is>
          <t>玉米排骨汤</t>
        </is>
      </c>
      <c r="B59" s="15" t="inlineStr">
        <is>
          <t>汤羹</t>
        </is>
      </c>
      <c r="C59" s="13" t="inlineStr">
        <is>
          <t>—</t>
        </is>
      </c>
      <c r="D59" s="16" t="n">
        <v>264</v>
      </c>
      <c r="E59" s="16" t="n">
        <v>63</v>
      </c>
      <c r="F59" s="16" t="n">
        <v>400</v>
      </c>
      <c r="G59" s="16">
        <f>ROUND(D59*F59/100,0)</f>
        <v/>
      </c>
      <c r="H59" s="16">
        <f>ROUND(E59*F59/100,0)</f>
        <v/>
      </c>
      <c r="I59" s="15" t="inlineStr">
        <is>
          <t>蛋白质(5g/100g)、碳水化合物(5g)</t>
        </is>
      </c>
      <c r="J59" s="15" t="inlineStr">
        <is>
          <t>玉米黄素、钙</t>
        </is>
      </c>
      <c r="K59" s="15" t="inlineStr">
        <is>
          <t>甜汤，营养均衡</t>
        </is>
      </c>
      <c r="L59" s="15" t="inlineStr">
        <is>
          <t>猪大排、玉米</t>
        </is>
      </c>
    </row>
    <row r="60">
      <c r="A60" s="15" t="inlineStr">
        <is>
          <t>老火靓汤（广式）</t>
        </is>
      </c>
      <c r="B60" s="15" t="inlineStr">
        <is>
          <t>汤羹</t>
        </is>
      </c>
      <c r="C60" s="13" t="inlineStr">
        <is>
          <t>—</t>
        </is>
      </c>
      <c r="D60" s="16" t="n">
        <v>251</v>
      </c>
      <c r="E60" s="16" t="n">
        <v>60</v>
      </c>
      <c r="F60" s="16" t="n">
        <v>500</v>
      </c>
      <c r="G60" s="16">
        <f>ROUND(D60*F60/100,0)</f>
        <v/>
      </c>
      <c r="H60" s="16">
        <f>ROUND(E60*F60/100,0)</f>
        <v/>
      </c>
      <c r="I60" s="15" t="inlineStr">
        <is>
          <t>蛋白质(5g/100g)、胶原蛋白</t>
        </is>
      </c>
      <c r="J60" s="15" t="inlineStr">
        <is>
          <t>多种矿物质</t>
        </is>
      </c>
      <c r="K60" s="15" t="inlineStr">
        <is>
          <t>慢炖析出营养，嘌呤可能较高</t>
        </is>
      </c>
      <c r="L60" s="15" t="inlineStr">
        <is>
          <t>猪大排、多种蔬菜</t>
        </is>
      </c>
    </row>
    <row r="61">
      <c r="A61" s="15" t="inlineStr">
        <is>
          <t>银耳莲子羹</t>
        </is>
      </c>
      <c r="B61" s="15" t="inlineStr">
        <is>
          <t>汤羹</t>
        </is>
      </c>
      <c r="C61" s="13" t="inlineStr">
        <is>
          <t>—</t>
        </is>
      </c>
      <c r="D61" s="16" t="n">
        <v>251</v>
      </c>
      <c r="E61" s="16" t="n">
        <v>60</v>
      </c>
      <c r="F61" s="16" t="n">
        <v>300</v>
      </c>
      <c r="G61" s="16">
        <f>ROUND(D61*F61/100,0)</f>
        <v/>
      </c>
      <c r="H61" s="16">
        <f>ROUND(E61*F61/100,0)</f>
        <v/>
      </c>
      <c r="I61" s="15" t="inlineStr">
        <is>
          <t>碳水化合物(14g/100g)、膳食纤维</t>
        </is>
      </c>
      <c r="J61" s="15" t="inlineStr">
        <is>
          <t>多糖类、维生素D</t>
        </is>
      </c>
      <c r="K61" s="15" t="inlineStr">
        <is>
          <t>加冰糖后糖分增加</t>
        </is>
      </c>
      <c r="L61" s="15" t="inlineStr">
        <is>
          <t>银耳（干）、莲子、大枣（干）</t>
        </is>
      </c>
    </row>
    <row r="62">
      <c r="A62" s="17" t="inlineStr">
        <is>
          <t>煎饺</t>
        </is>
      </c>
      <c r="B62" s="17" t="inlineStr">
        <is>
          <t>小吃</t>
        </is>
      </c>
      <c r="C62" s="18" t="inlineStr">
        <is>
          <t>—</t>
        </is>
      </c>
      <c r="D62" s="19" t="n">
        <v>920</v>
      </c>
      <c r="E62" s="19" t="n">
        <v>220</v>
      </c>
      <c r="F62" s="19" t="n">
        <v>150</v>
      </c>
      <c r="G62" s="19">
        <f>ROUND(D62*F62/100,0)</f>
        <v/>
      </c>
      <c r="H62" s="19">
        <f>ROUND(E62*F62/100,0)</f>
        <v/>
      </c>
      <c r="I62" s="17" t="inlineStr">
        <is>
          <t>碳水化合物(24g/100g)、蛋白质(9g)</t>
        </is>
      </c>
      <c r="J62" s="17" t="inlineStr">
        <is>
          <t>脂肪(10g)</t>
        </is>
      </c>
      <c r="K62" s="17" t="inlineStr">
        <is>
          <t>煎炸面点，热量较高</t>
        </is>
      </c>
      <c r="L62" s="17" t="inlineStr">
        <is>
          <t>面粉、猪腿肉（瘦）、大白菜</t>
        </is>
      </c>
    </row>
    <row r="63">
      <c r="A63" s="17" t="inlineStr">
        <is>
          <t>生煎包</t>
        </is>
      </c>
      <c r="B63" s="17" t="inlineStr">
        <is>
          <t>小吃</t>
        </is>
      </c>
      <c r="C63" s="18" t="inlineStr">
        <is>
          <t>—</t>
        </is>
      </c>
      <c r="D63" s="19" t="n">
        <v>1046</v>
      </c>
      <c r="E63" s="19" t="n">
        <v>250</v>
      </c>
      <c r="F63" s="19" t="n">
        <v>100</v>
      </c>
      <c r="G63" s="19">
        <f>ROUND(D63*F63/100,0)</f>
        <v/>
      </c>
      <c r="H63" s="19">
        <f>ROUND(E63*F63/100,0)</f>
        <v/>
      </c>
      <c r="I63" s="17" t="inlineStr">
        <is>
          <t>碳水化合物(25g/100g)、蛋白质(10g)</t>
        </is>
      </c>
      <c r="J63" s="17" t="inlineStr">
        <is>
          <t>脂肪(13g)</t>
        </is>
      </c>
      <c r="K63" s="17" t="inlineStr">
        <is>
          <t>底部油煎，热量较高</t>
        </is>
      </c>
      <c r="L63" s="17" t="inlineStr">
        <is>
          <t>面粉、猪腿肉（瘦）</t>
        </is>
      </c>
    </row>
    <row r="64">
      <c r="A64" s="17" t="inlineStr">
        <is>
          <t>小笼包</t>
        </is>
      </c>
      <c r="B64" s="17" t="inlineStr">
        <is>
          <t>小吃</t>
        </is>
      </c>
      <c r="C64" s="18" t="inlineStr">
        <is>
          <t>—</t>
        </is>
      </c>
      <c r="D64" s="19" t="n">
        <v>795</v>
      </c>
      <c r="E64" s="19" t="n">
        <v>190</v>
      </c>
      <c r="F64" s="19" t="n">
        <v>100</v>
      </c>
      <c r="G64" s="19">
        <f>ROUND(D64*F64/100,0)</f>
        <v/>
      </c>
      <c r="H64" s="19">
        <f>ROUND(E64*F64/100,0)</f>
        <v/>
      </c>
      <c r="I64" s="17" t="inlineStr">
        <is>
          <t>碳水化合物(20g/100g)、蛋白质(10g)</t>
        </is>
      </c>
      <c r="J64" s="17" t="inlineStr">
        <is>
          <t>脂肪(9g)</t>
        </is>
      </c>
      <c r="K64" s="17" t="inlineStr">
        <is>
          <t>蒸制热量低于煎制</t>
        </is>
      </c>
      <c r="L64" s="17" t="inlineStr">
        <is>
          <t>面粉、猪腿肉（瘦）</t>
        </is>
      </c>
    </row>
    <row r="65">
      <c r="A65" s="17" t="inlineStr">
        <is>
          <t>蒸饺</t>
        </is>
      </c>
      <c r="B65" s="17" t="inlineStr">
        <is>
          <t>小吃</t>
        </is>
      </c>
      <c r="C65" s="18" t="inlineStr">
        <is>
          <t>—</t>
        </is>
      </c>
      <c r="D65" s="19" t="n">
        <v>628</v>
      </c>
      <c r="E65" s="19" t="n">
        <v>150</v>
      </c>
      <c r="F65" s="19" t="n">
        <v>150</v>
      </c>
      <c r="G65" s="19">
        <f>ROUND(D65*F65/100,0)</f>
        <v/>
      </c>
      <c r="H65" s="19">
        <f>ROUND(E65*F65/100,0)</f>
        <v/>
      </c>
      <c r="I65" s="17" t="inlineStr">
        <is>
          <t>碳水化合物(20g/100g)、蛋白质(9g)</t>
        </is>
      </c>
      <c r="J65" s="17" t="inlineStr">
        <is>
          <t>脂肪(5g)</t>
        </is>
      </c>
      <c r="K65" s="17" t="inlineStr">
        <is>
          <t>蒸制健康选择</t>
        </is>
      </c>
      <c r="L65" s="17" t="inlineStr">
        <is>
          <t>面粉、猪腿肉（瘦）</t>
        </is>
      </c>
    </row>
    <row r="66">
      <c r="A66" s="17" t="inlineStr">
        <is>
          <t>锅贴</t>
        </is>
      </c>
      <c r="B66" s="17" t="inlineStr">
        <is>
          <t>小吃</t>
        </is>
      </c>
      <c r="C66" s="18" t="inlineStr">
        <is>
          <t>—</t>
        </is>
      </c>
      <c r="D66" s="19" t="n">
        <v>920</v>
      </c>
      <c r="E66" s="19" t="n">
        <v>220</v>
      </c>
      <c r="F66" s="19" t="n">
        <v>150</v>
      </c>
      <c r="G66" s="19">
        <f>ROUND(D66*F66/100,0)</f>
        <v/>
      </c>
      <c r="H66" s="19">
        <f>ROUND(E66*F66/100,0)</f>
        <v/>
      </c>
      <c r="I66" s="17" t="inlineStr">
        <is>
          <t>碳水化合物(24g/100g)、蛋白质(9g)</t>
        </is>
      </c>
      <c r="J66" s="17" t="inlineStr">
        <is>
          <t>脂肪(10g)</t>
        </is>
      </c>
      <c r="K66" s="17" t="inlineStr">
        <is>
          <t>单面煎，底部酥脆</t>
        </is>
      </c>
      <c r="L66" s="17" t="inlineStr">
        <is>
          <t>面粉、猪腿肉（瘦）</t>
        </is>
      </c>
    </row>
    <row r="67">
      <c r="A67" s="17" t="inlineStr">
        <is>
          <t>炸春卷</t>
        </is>
      </c>
      <c r="B67" s="17" t="inlineStr">
        <is>
          <t>小吃</t>
        </is>
      </c>
      <c r="C67" s="18" t="inlineStr">
        <is>
          <t>—</t>
        </is>
      </c>
      <c r="D67" s="19" t="n">
        <v>1381</v>
      </c>
      <c r="E67" s="19" t="n">
        <v>330</v>
      </c>
      <c r="F67" s="19" t="n">
        <v>100</v>
      </c>
      <c r="G67" s="19">
        <f>ROUND(D67*F67/100,0)</f>
        <v/>
      </c>
      <c r="H67" s="19">
        <f>ROUND(E67*F67/100,0)</f>
        <v/>
      </c>
      <c r="I67" s="17" t="inlineStr">
        <is>
          <t>碳水化合物(30g/100g)、脂肪(20g)</t>
        </is>
      </c>
      <c r="J67" s="17" t="inlineStr">
        <is>
          <t>钠较高</t>
        </is>
      </c>
      <c r="K67" s="17" t="inlineStr">
        <is>
          <t>油炸，高热量</t>
        </is>
      </c>
      <c r="L67" s="17" t="inlineStr">
        <is>
          <t>面粉、包菜/圆白菜、胡萝卜、猪腿肉（瘦）</t>
        </is>
      </c>
    </row>
    <row r="68">
      <c r="A68" s="17" t="inlineStr">
        <is>
          <t>鲜肉月饼</t>
        </is>
      </c>
      <c r="B68" s="17" t="inlineStr">
        <is>
          <t>小吃</t>
        </is>
      </c>
      <c r="C68" s="18" t="inlineStr">
        <is>
          <t>—</t>
        </is>
      </c>
      <c r="D68" s="19" t="n">
        <v>1506</v>
      </c>
      <c r="E68" s="19" t="n">
        <v>360</v>
      </c>
      <c r="F68" s="19" t="n">
        <v>100</v>
      </c>
      <c r="G68" s="19">
        <f>ROUND(D68*F68/100,0)</f>
        <v/>
      </c>
      <c r="H68" s="19">
        <f>ROUND(E68*F68/100,0)</f>
        <v/>
      </c>
      <c r="I68" s="17" t="inlineStr">
        <is>
          <t>碳水化合物(38g/100g)、脂肪(18g)</t>
        </is>
      </c>
      <c r="J68" s="17" t="inlineStr">
        <is>
          <t>蛋白质(9g)</t>
        </is>
      </c>
      <c r="K68" s="17" t="inlineStr">
        <is>
          <t>苏式月饼，热量较高</t>
        </is>
      </c>
      <c r="L68" s="17" t="inlineStr"/>
    </row>
    <row r="69">
      <c r="A69" s="17" t="inlineStr">
        <is>
          <t>蛋黄酥</t>
        </is>
      </c>
      <c r="B69" s="17" t="inlineStr">
        <is>
          <t>小吃</t>
        </is>
      </c>
      <c r="C69" s="18" t="inlineStr">
        <is>
          <t>—</t>
        </is>
      </c>
      <c r="D69" s="19" t="n">
        <v>1590</v>
      </c>
      <c r="E69" s="19" t="n">
        <v>380</v>
      </c>
      <c r="F69" s="19" t="n">
        <v>75</v>
      </c>
      <c r="G69" s="19">
        <f>ROUND(D69*F69/100,0)</f>
        <v/>
      </c>
      <c r="H69" s="19">
        <f>ROUND(E69*F69/100,0)</f>
        <v/>
      </c>
      <c r="I69" s="17" t="inlineStr">
        <is>
          <t>碳水化合物(40g/100g)、脂肪(22g)</t>
        </is>
      </c>
      <c r="J69" s="17" t="inlineStr">
        <is>
          <t>蛋黄胆固醇高</t>
        </is>
      </c>
      <c r="K69" s="17" t="inlineStr">
        <is>
          <t>酥皮点心，热量高</t>
        </is>
      </c>
      <c r="L69" s="17" t="inlineStr"/>
    </row>
    <row r="70">
      <c r="A70" s="17" t="inlineStr">
        <is>
          <t>驴打滚</t>
        </is>
      </c>
      <c r="B70" s="17" t="inlineStr">
        <is>
          <t>小吃</t>
        </is>
      </c>
      <c r="C70" s="18" t="inlineStr">
        <is>
          <t>—</t>
        </is>
      </c>
      <c r="D70" s="19" t="n">
        <v>900</v>
      </c>
      <c r="E70" s="19" t="n">
        <v>215</v>
      </c>
      <c r="F70" s="19" t="n">
        <v>100</v>
      </c>
      <c r="G70" s="19">
        <f>ROUND(D70*F70/100,0)</f>
        <v/>
      </c>
      <c r="H70" s="19">
        <f>ROUND(E70*F70/100,0)</f>
        <v/>
      </c>
      <c r="I70" s="17" t="inlineStr">
        <is>
          <t>碳水化合物(48g/100g)、糖(20g)</t>
        </is>
      </c>
      <c r="J70" s="17" t="inlineStr">
        <is>
          <t>少量蛋白质</t>
        </is>
      </c>
      <c r="K70" s="17" t="inlineStr">
        <is>
          <t>豆沙馅较甜</t>
        </is>
      </c>
      <c r="L70" s="17" t="inlineStr"/>
    </row>
    <row r="71">
      <c r="A71" s="17" t="inlineStr">
        <is>
          <t>糖葫芦</t>
        </is>
      </c>
      <c r="B71" s="17" t="inlineStr">
        <is>
          <t>小吃</t>
        </is>
      </c>
      <c r="C71" s="18" t="inlineStr">
        <is>
          <t>—</t>
        </is>
      </c>
      <c r="D71" s="19" t="n">
        <v>880</v>
      </c>
      <c r="E71" s="19" t="n">
        <v>210</v>
      </c>
      <c r="F71" s="19" t="n">
        <v>100</v>
      </c>
      <c r="G71" s="19">
        <f>ROUND(D71*F71/100,0)</f>
        <v/>
      </c>
      <c r="H71" s="19">
        <f>ROUND(E71*F71/100,0)</f>
        <v/>
      </c>
      <c r="I71" s="17" t="inlineStr">
        <is>
          <t>碳水化合物(54g/100g)、糖(45g)</t>
        </is>
      </c>
      <c r="J71" s="17" t="inlineStr">
        <is>
          <t>维生素C（山楂）</t>
        </is>
      </c>
      <c r="K71" s="17" t="inlineStr">
        <is>
          <t>含糖量极高</t>
        </is>
      </c>
      <c r="L71" s="17" t="inlineStr"/>
    </row>
    <row r="72">
      <c r="A72" s="17" t="inlineStr">
        <is>
          <t>烤串（羊肉）</t>
        </is>
      </c>
      <c r="B72" s="17" t="inlineStr">
        <is>
          <t>小吃</t>
        </is>
      </c>
      <c r="C72" s="18" t="inlineStr">
        <is>
          <t>—</t>
        </is>
      </c>
      <c r="D72" s="19" t="n">
        <v>837</v>
      </c>
      <c r="E72" s="19" t="n">
        <v>200</v>
      </c>
      <c r="F72" s="19" t="n">
        <v>100</v>
      </c>
      <c r="G72" s="19">
        <f>ROUND(D72*F72/100,0)</f>
        <v/>
      </c>
      <c r="H72" s="19">
        <f>ROUND(E72*F72/100,0)</f>
        <v/>
      </c>
      <c r="I72" s="17" t="inlineStr">
        <is>
          <t>蛋白质(15g/100g)、脂肪(13g)</t>
        </is>
      </c>
      <c r="J72" s="17" t="inlineStr">
        <is>
          <t>锌、铁</t>
        </is>
      </c>
      <c r="K72" s="17" t="inlineStr">
        <is>
          <t>加孜然辣椒，钠含量较高</t>
        </is>
      </c>
      <c r="L72" s="17" t="inlineStr">
        <is>
          <t>羊腿肉</t>
        </is>
      </c>
    </row>
    <row r="73">
      <c r="A73" s="17" t="inlineStr">
        <is>
          <t>烤串（鸡翅）</t>
        </is>
      </c>
      <c r="B73" s="17" t="inlineStr">
        <is>
          <t>小吃</t>
        </is>
      </c>
      <c r="C73" s="18" t="inlineStr">
        <is>
          <t>—</t>
        </is>
      </c>
      <c r="D73" s="19" t="n">
        <v>920</v>
      </c>
      <c r="E73" s="19" t="n">
        <v>220</v>
      </c>
      <c r="F73" s="19" t="n">
        <v>100</v>
      </c>
      <c r="G73" s="19">
        <f>ROUND(D73*F73/100,0)</f>
        <v/>
      </c>
      <c r="H73" s="19">
        <f>ROUND(E73*F73/100,0)</f>
        <v/>
      </c>
      <c r="I73" s="17" t="inlineStr">
        <is>
          <t>蛋白质(17g/100g)、脂肪(14g)</t>
        </is>
      </c>
      <c r="J73" s="17" t="inlineStr">
        <is>
          <t>磷、B族维生素</t>
        </is>
      </c>
      <c r="K73" s="17" t="inlineStr">
        <is>
          <t>皮脂肪含量高</t>
        </is>
      </c>
      <c r="L73" s="17" t="inlineStr">
        <is>
          <t>鸡翅（整翅）</t>
        </is>
      </c>
    </row>
    <row r="74">
      <c r="A74" s="17" t="inlineStr">
        <is>
          <t>臭豆腐（炸）</t>
        </is>
      </c>
      <c r="B74" s="17" t="inlineStr">
        <is>
          <t>小吃</t>
        </is>
      </c>
      <c r="C74" s="18" t="inlineStr">
        <is>
          <t>—</t>
        </is>
      </c>
      <c r="D74" s="19" t="n">
        <v>795</v>
      </c>
      <c r="E74" s="19" t="n">
        <v>190</v>
      </c>
      <c r="F74" s="19" t="n">
        <v>100</v>
      </c>
      <c r="G74" s="19">
        <f>ROUND(D74*F74/100,0)</f>
        <v/>
      </c>
      <c r="H74" s="19">
        <f>ROUND(E74*F74/100,0)</f>
        <v/>
      </c>
      <c r="I74" s="17" t="inlineStr">
        <is>
          <t>蛋白质(11g/100g)、脂肪(11g)</t>
        </is>
      </c>
      <c r="J74" s="17" t="inlineStr">
        <is>
          <t>钙、铁</t>
        </is>
      </c>
      <c r="K74" s="17" t="inlineStr">
        <is>
          <t>油炸，钠较高</t>
        </is>
      </c>
      <c r="L74" s="17" t="inlineStr"/>
    </row>
    <row r="75">
      <c r="A75" s="17" t="inlineStr">
        <is>
          <t>毛豆</t>
        </is>
      </c>
      <c r="B75" s="17" t="inlineStr">
        <is>
          <t>小吃</t>
        </is>
      </c>
      <c r="C75" s="18" t="inlineStr">
        <is>
          <t>—</t>
        </is>
      </c>
      <c r="D75" s="19" t="n">
        <v>502</v>
      </c>
      <c r="E75" s="19" t="n">
        <v>120</v>
      </c>
      <c r="F75" s="19" t="n">
        <v>100</v>
      </c>
      <c r="G75" s="19">
        <f>ROUND(D75*F75/100,0)</f>
        <v/>
      </c>
      <c r="H75" s="19">
        <f>ROUND(E75*F75/100,0)</f>
        <v/>
      </c>
      <c r="I75" s="17" t="inlineStr">
        <is>
          <t>蛋白质(11g/100g)、膳食纤维(4g)</t>
        </is>
      </c>
      <c r="J75" s="17" t="inlineStr">
        <is>
          <t>维生素C、叶酸、钾</t>
        </is>
      </c>
      <c r="K75" s="17" t="inlineStr">
        <is>
          <t>低热量高蛋白零食</t>
        </is>
      </c>
      <c r="L75" s="17" t="inlineStr">
        <is>
          <t>毛豆（鲜）</t>
        </is>
      </c>
    </row>
    <row r="76">
      <c r="A76" s="17" t="inlineStr">
        <is>
          <t>凉皮（陕西）</t>
        </is>
      </c>
      <c r="B76" s="17" t="inlineStr">
        <is>
          <t>小吃</t>
        </is>
      </c>
      <c r="C76" s="18" t="inlineStr">
        <is>
          <t>—</t>
        </is>
      </c>
      <c r="D76" s="19" t="n">
        <v>502</v>
      </c>
      <c r="E76" s="19" t="n">
        <v>120</v>
      </c>
      <c r="F76" s="19" t="n">
        <v>200</v>
      </c>
      <c r="G76" s="19">
        <f>ROUND(D76*F76/100,0)</f>
        <v/>
      </c>
      <c r="H76" s="19">
        <f>ROUND(E76*F76/100,0)</f>
        <v/>
      </c>
      <c r="I76" s="17" t="inlineStr">
        <is>
          <t>碳水化合物(25g/100g)、蛋白质(3g)</t>
        </is>
      </c>
      <c r="J76" s="17" t="inlineStr">
        <is>
          <t>少量脂肪</t>
        </is>
      </c>
      <c r="K76" s="17" t="inlineStr">
        <is>
          <t>加辣油芝麻酱热量大增</t>
        </is>
      </c>
      <c r="L76" s="17" t="inlineStr">
        <is>
          <t>面粉、芝麻酱、辣椒油</t>
        </is>
      </c>
    </row>
    <row r="77">
      <c r="A77" s="17" t="inlineStr">
        <is>
          <t>鸡蛋灌饼</t>
        </is>
      </c>
      <c r="B77" s="17" t="inlineStr">
        <is>
          <t>小吃</t>
        </is>
      </c>
      <c r="C77" s="18" t="inlineStr">
        <is>
          <t>—</t>
        </is>
      </c>
      <c r="D77" s="19" t="n">
        <v>1046</v>
      </c>
      <c r="E77" s="19" t="n">
        <v>250</v>
      </c>
      <c r="F77" s="19" t="n">
        <v>180</v>
      </c>
      <c r="G77" s="19">
        <f>ROUND(D77*F77/100,0)</f>
        <v/>
      </c>
      <c r="H77" s="19">
        <f>ROUND(E77*F77/100,0)</f>
        <v/>
      </c>
      <c r="I77" s="17" t="inlineStr">
        <is>
          <t>碳水化合物(30g/100g)、蛋白质(10g)</t>
        </is>
      </c>
      <c r="J77" s="17" t="inlineStr">
        <is>
          <t>脂肪(12g)</t>
        </is>
      </c>
      <c r="K77" s="17" t="inlineStr">
        <is>
          <t>常见早餐小吃</t>
        </is>
      </c>
      <c r="L77" s="17" t="inlineStr">
        <is>
          <t>面粉、鸡蛋（全蛋）</t>
        </is>
      </c>
    </row>
    <row r="78">
      <c r="A78" s="20" t="inlineStr">
        <is>
          <t>瓜子（葵花籽）</t>
        </is>
      </c>
      <c r="B78" s="20" t="inlineStr">
        <is>
          <t>零食</t>
        </is>
      </c>
      <c r="C78" s="21" t="inlineStr">
        <is>
          <t>—</t>
        </is>
      </c>
      <c r="D78" s="22" t="n">
        <v>2459</v>
      </c>
      <c r="E78" s="22" t="n">
        <v>588</v>
      </c>
      <c r="F78" s="22" t="n">
        <v>30</v>
      </c>
      <c r="G78" s="22">
        <f>ROUND(D78*F78/100,0)</f>
        <v/>
      </c>
      <c r="H78" s="22">
        <f>ROUND(E78*F78/100,0)</f>
        <v/>
      </c>
      <c r="I78" s="20" t="inlineStr">
        <is>
          <t>脂肪(53g/100g)、蛋白质(20g)</t>
        </is>
      </c>
      <c r="J78" s="20" t="inlineStr">
        <is>
          <t>维生素E、硒</t>
        </is>
      </c>
      <c r="K78" s="20" t="inlineStr">
        <is>
          <t>热量极高，适量食用</t>
        </is>
      </c>
      <c r="L78" s="20" t="inlineStr"/>
    </row>
    <row r="79">
      <c r="A79" s="20" t="inlineStr">
        <is>
          <t>花生</t>
        </is>
      </c>
      <c r="B79" s="20" t="inlineStr">
        <is>
          <t>零食</t>
        </is>
      </c>
      <c r="C79" s="21" t="inlineStr">
        <is>
          <t>—</t>
        </is>
      </c>
      <c r="D79" s="22" t="n">
        <v>2356</v>
      </c>
      <c r="E79" s="22" t="n">
        <v>563</v>
      </c>
      <c r="F79" s="22" t="n">
        <v>30</v>
      </c>
      <c r="G79" s="22">
        <f>ROUND(D79*F79/100,0)</f>
        <v/>
      </c>
      <c r="H79" s="22">
        <f>ROUND(E79*F79/100,0)</f>
        <v/>
      </c>
      <c r="I79" s="20" t="inlineStr">
        <is>
          <t>脂肪(44g/100g)、蛋白质(25g)</t>
        </is>
      </c>
      <c r="J79" s="20" t="inlineStr">
        <is>
          <t>维生素E、烟酸、镁</t>
        </is>
      </c>
      <c r="K79" s="20" t="inlineStr">
        <is>
          <t>热量高，含优质植物蛋白</t>
        </is>
      </c>
      <c r="L79" s="20" t="inlineStr"/>
    </row>
    <row r="80">
      <c r="A80" s="20" t="inlineStr">
        <is>
          <t>核桃</t>
        </is>
      </c>
      <c r="B80" s="20" t="inlineStr">
        <is>
          <t>零食</t>
        </is>
      </c>
      <c r="C80" s="21" t="inlineStr">
        <is>
          <t>—</t>
        </is>
      </c>
      <c r="D80" s="22" t="n">
        <v>2703</v>
      </c>
      <c r="E80" s="22" t="n">
        <v>646</v>
      </c>
      <c r="F80" s="22" t="n">
        <v>20</v>
      </c>
      <c r="G80" s="22">
        <f>ROUND(D80*F80/100,0)</f>
        <v/>
      </c>
      <c r="H80" s="22">
        <f>ROUND(E80*F80/100,0)</f>
        <v/>
      </c>
      <c r="I80" s="20" t="inlineStr">
        <is>
          <t>脂肪(65g/100g)、蛋白质(14g)</t>
        </is>
      </c>
      <c r="J80" s="20" t="inlineStr">
        <is>
          <t>Ω-3脂肪酸、维生素E</t>
        </is>
      </c>
      <c r="K80" s="20" t="inlineStr">
        <is>
          <t>热量极高，每日1-2颗为宜</t>
        </is>
      </c>
      <c r="L80" s="20" t="inlineStr"/>
    </row>
    <row r="81">
      <c r="A81" s="20" t="inlineStr">
        <is>
          <t>腰果</t>
        </is>
      </c>
      <c r="B81" s="20" t="inlineStr">
        <is>
          <t>零食</t>
        </is>
      </c>
      <c r="C81" s="21" t="inlineStr">
        <is>
          <t>—</t>
        </is>
      </c>
      <c r="D81" s="22" t="n">
        <v>2368</v>
      </c>
      <c r="E81" s="22" t="n">
        <v>566</v>
      </c>
      <c r="F81" s="22" t="n">
        <v>20</v>
      </c>
      <c r="G81" s="22">
        <f>ROUND(D81*F81/100,0)</f>
        <v/>
      </c>
      <c r="H81" s="22">
        <f>ROUND(E81*F81/100,0)</f>
        <v/>
      </c>
      <c r="I81" s="20" t="inlineStr">
        <is>
          <t>脂肪(46g/100g)、蛋白质(18g)</t>
        </is>
      </c>
      <c r="J81" s="20" t="inlineStr">
        <is>
          <t>镁、铜、锌</t>
        </is>
      </c>
      <c r="K81" s="20" t="inlineStr">
        <is>
          <t>坚果，高热量</t>
        </is>
      </c>
      <c r="L81" s="20" t="inlineStr"/>
    </row>
    <row r="82">
      <c r="A82" s="20" t="inlineStr">
        <is>
          <t>杏仁</t>
        </is>
      </c>
      <c r="B82" s="20" t="inlineStr">
        <is>
          <t>零食</t>
        </is>
      </c>
      <c r="C82" s="21" t="inlineStr">
        <is>
          <t>—</t>
        </is>
      </c>
      <c r="D82" s="22" t="n">
        <v>2411</v>
      </c>
      <c r="E82" s="22" t="n">
        <v>576</v>
      </c>
      <c r="F82" s="22" t="n">
        <v>20</v>
      </c>
      <c r="G82" s="22">
        <f>ROUND(D82*F82/100,0)</f>
        <v/>
      </c>
      <c r="H82" s="22">
        <f>ROUND(E82*F82/100,0)</f>
        <v/>
      </c>
      <c r="I82" s="20" t="inlineStr">
        <is>
          <t>脂肪(50g/100g)、蛋白质(22g)</t>
        </is>
      </c>
      <c r="J82" s="20" t="inlineStr">
        <is>
          <t>维生素E、钙、镁</t>
        </is>
      </c>
      <c r="K82" s="20" t="inlineStr">
        <is>
          <t>饱腹感强</t>
        </is>
      </c>
      <c r="L82" s="20" t="inlineStr"/>
    </row>
    <row r="83">
      <c r="A83" s="20" t="inlineStr">
        <is>
          <t>锅巴</t>
        </is>
      </c>
      <c r="B83" s="20" t="inlineStr">
        <is>
          <t>零食</t>
        </is>
      </c>
      <c r="C83" s="21" t="inlineStr">
        <is>
          <t>—</t>
        </is>
      </c>
      <c r="D83" s="22" t="n">
        <v>1757</v>
      </c>
      <c r="E83" s="22" t="n">
        <v>420</v>
      </c>
      <c r="F83" s="22" t="n">
        <v>30</v>
      </c>
      <c r="G83" s="22">
        <f>ROUND(D83*F83/100,0)</f>
        <v/>
      </c>
      <c r="H83" s="22">
        <f>ROUND(E83*F83/100,0)</f>
        <v/>
      </c>
      <c r="I83" s="20" t="inlineStr">
        <is>
          <t>碳水化合物(64g/100g)、脂肪(18g)</t>
        </is>
      </c>
      <c r="J83" s="20" t="inlineStr">
        <is>
          <t>钠含量较高</t>
        </is>
      </c>
      <c r="K83" s="20" t="inlineStr">
        <is>
          <t>油炸膨化类</t>
        </is>
      </c>
      <c r="L83" s="20" t="inlineStr"/>
    </row>
    <row r="84">
      <c r="A84" s="20" t="inlineStr">
        <is>
          <t>薯片</t>
        </is>
      </c>
      <c r="B84" s="20" t="inlineStr">
        <is>
          <t>零食</t>
        </is>
      </c>
      <c r="C84" s="21" t="inlineStr">
        <is>
          <t>—</t>
        </is>
      </c>
      <c r="D84" s="22" t="n">
        <v>2218</v>
      </c>
      <c r="E84" s="22" t="n">
        <v>530</v>
      </c>
      <c r="F84" s="22" t="n">
        <v>30</v>
      </c>
      <c r="G84" s="22">
        <f>ROUND(D84*F84/100,0)</f>
        <v/>
      </c>
      <c r="H84" s="22">
        <f>ROUND(E84*F84/100,0)</f>
        <v/>
      </c>
      <c r="I84" s="20" t="inlineStr">
        <is>
          <t>碳水化合物(53g/100g)、脂肪(35g)</t>
        </is>
      </c>
      <c r="J84" s="20" t="inlineStr">
        <is>
          <t>钠含量极高</t>
        </is>
      </c>
      <c r="K84" s="20" t="inlineStr">
        <is>
          <t>高热量高盐，不宜多食</t>
        </is>
      </c>
      <c r="L84" s="20" t="inlineStr"/>
    </row>
    <row r="85">
      <c r="A85" s="20" t="inlineStr">
        <is>
          <t>雪饼/仙贝</t>
        </is>
      </c>
      <c r="B85" s="20" t="inlineStr">
        <is>
          <t>零食</t>
        </is>
      </c>
      <c r="C85" s="21" t="inlineStr">
        <is>
          <t>—</t>
        </is>
      </c>
      <c r="D85" s="22" t="n">
        <v>1674</v>
      </c>
      <c r="E85" s="22" t="n">
        <v>400</v>
      </c>
      <c r="F85" s="22" t="n">
        <v>30</v>
      </c>
      <c r="G85" s="22">
        <f>ROUND(D85*F85/100,0)</f>
        <v/>
      </c>
      <c r="H85" s="22">
        <f>ROUND(E85*F85/100,0)</f>
        <v/>
      </c>
      <c r="I85" s="20" t="inlineStr">
        <is>
          <t>碳水化合物(78g/100g)、脂肪(7g)</t>
        </is>
      </c>
      <c r="J85" s="20" t="inlineStr">
        <is>
          <t>钠含量中等</t>
        </is>
      </c>
      <c r="K85" s="20" t="inlineStr">
        <is>
          <t>膨化食品</t>
        </is>
      </c>
      <c r="L85" s="20" t="inlineStr"/>
    </row>
    <row r="86">
      <c r="A86" s="20" t="inlineStr">
        <is>
          <t>辣条</t>
        </is>
      </c>
      <c r="B86" s="20" t="inlineStr">
        <is>
          <t>零食</t>
        </is>
      </c>
      <c r="C86" s="21" t="inlineStr">
        <is>
          <t>—</t>
        </is>
      </c>
      <c r="D86" s="22" t="n">
        <v>1590</v>
      </c>
      <c r="E86" s="22" t="n">
        <v>380</v>
      </c>
      <c r="F86" s="22" t="n">
        <v>50</v>
      </c>
      <c r="G86" s="22">
        <f>ROUND(D86*F86/100,0)</f>
        <v/>
      </c>
      <c r="H86" s="22">
        <f>ROUND(E86*F86/100,0)</f>
        <v/>
      </c>
      <c r="I86" s="20" t="inlineStr">
        <is>
          <t>碳水化合物(50g/100g)、脂肪(15g)</t>
        </is>
      </c>
      <c r="J86" s="20" t="inlineStr">
        <is>
          <t>钠含量极高</t>
        </is>
      </c>
      <c r="K86" s="20" t="inlineStr">
        <is>
          <t>高糖高盐，儿童慎食</t>
        </is>
      </c>
      <c r="L86" s="20" t="inlineStr"/>
    </row>
    <row r="87">
      <c r="A87" s="20" t="inlineStr">
        <is>
          <t>牛肉干</t>
        </is>
      </c>
      <c r="B87" s="20" t="inlineStr">
        <is>
          <t>零食</t>
        </is>
      </c>
      <c r="C87" s="21" t="inlineStr">
        <is>
          <t>—</t>
        </is>
      </c>
      <c r="D87" s="22" t="n">
        <v>1381</v>
      </c>
      <c r="E87" s="22" t="n">
        <v>330</v>
      </c>
      <c r="F87" s="22" t="n">
        <v>30</v>
      </c>
      <c r="G87" s="22">
        <f>ROUND(D87*F87/100,0)</f>
        <v/>
      </c>
      <c r="H87" s="22">
        <f>ROUND(E87*F87/100,0)</f>
        <v/>
      </c>
      <c r="I87" s="20" t="inlineStr">
        <is>
          <t>蛋白质(45g/100g)、脂肪(10g)</t>
        </is>
      </c>
      <c r="J87" s="20" t="inlineStr">
        <is>
          <t>铁、锌、B12</t>
        </is>
      </c>
      <c r="K87" s="20" t="inlineStr">
        <is>
          <t>高蛋白，但钠含量高</t>
        </is>
      </c>
      <c r="L87" s="20" t="inlineStr"/>
    </row>
    <row r="88">
      <c r="A88" s="20" t="inlineStr">
        <is>
          <t>鱿鱼丝</t>
        </is>
      </c>
      <c r="B88" s="20" t="inlineStr">
        <is>
          <t>零食</t>
        </is>
      </c>
      <c r="C88" s="21" t="inlineStr">
        <is>
          <t>—</t>
        </is>
      </c>
      <c r="D88" s="22" t="n">
        <v>1130</v>
      </c>
      <c r="E88" s="22" t="n">
        <v>270</v>
      </c>
      <c r="F88" s="22" t="n">
        <v>30</v>
      </c>
      <c r="G88" s="22">
        <f>ROUND(D88*F88/100,0)</f>
        <v/>
      </c>
      <c r="H88" s="22">
        <f>ROUND(E88*F88/100,0)</f>
        <v/>
      </c>
      <c r="I88" s="20" t="inlineStr">
        <is>
          <t>蛋白质(36g/100g)、脂肪(4g)</t>
        </is>
      </c>
      <c r="J88" s="20" t="inlineStr">
        <is>
          <t>钠含量极高、胆固醇较高</t>
        </is>
      </c>
      <c r="K88" s="20" t="inlineStr">
        <is>
          <t>高蛋白低脂，但钠超标</t>
        </is>
      </c>
      <c r="L88" s="20" t="inlineStr"/>
    </row>
    <row r="89">
      <c r="A89" s="20" t="inlineStr">
        <is>
          <t>蜜饯（话梅）</t>
        </is>
      </c>
      <c r="B89" s="20" t="inlineStr">
        <is>
          <t>零食</t>
        </is>
      </c>
      <c r="C89" s="21" t="inlineStr">
        <is>
          <t>—</t>
        </is>
      </c>
      <c r="D89" s="22" t="n">
        <v>1130</v>
      </c>
      <c r="E89" s="22" t="n">
        <v>270</v>
      </c>
      <c r="F89" s="22" t="n">
        <v>30</v>
      </c>
      <c r="G89" s="22">
        <f>ROUND(D89*F89/100,0)</f>
        <v/>
      </c>
      <c r="H89" s="22">
        <f>ROUND(E89*F89/100,0)</f>
        <v/>
      </c>
      <c r="I89" s="20" t="inlineStr">
        <is>
          <t>碳水化合物(67g/100g)、糖(50g)</t>
        </is>
      </c>
      <c r="J89" s="20" t="inlineStr">
        <is>
          <t>维生素C（少量）、钠高</t>
        </is>
      </c>
      <c r="K89" s="20" t="inlineStr">
        <is>
          <t>高糖高盐，适量食用</t>
        </is>
      </c>
      <c r="L89" s="20" t="inlineStr"/>
    </row>
    <row r="90">
      <c r="A90" s="20" t="inlineStr">
        <is>
          <t>饼干（苏打）</t>
        </is>
      </c>
      <c r="B90" s="20" t="inlineStr">
        <is>
          <t>零食</t>
        </is>
      </c>
      <c r="C90" s="21" t="inlineStr">
        <is>
          <t>—</t>
        </is>
      </c>
      <c r="D90" s="22" t="n">
        <v>1800</v>
      </c>
      <c r="E90" s="22" t="n">
        <v>430</v>
      </c>
      <c r="F90" s="22" t="n">
        <v>30</v>
      </c>
      <c r="G90" s="22">
        <f>ROUND(D90*F90/100,0)</f>
        <v/>
      </c>
      <c r="H90" s="22">
        <f>ROUND(E90*F90/100,0)</f>
        <v/>
      </c>
      <c r="I90" s="20" t="inlineStr">
        <is>
          <t>碳水化合物(76g/100g)、脂肪(10g)</t>
        </is>
      </c>
      <c r="J90" s="20" t="inlineStr">
        <is>
          <t>少量B族维生素</t>
        </is>
      </c>
      <c r="K90" s="20" t="inlineStr">
        <is>
          <t>热量较高，适量食用</t>
        </is>
      </c>
      <c r="L90" s="20" t="inlineStr"/>
    </row>
    <row r="91">
      <c r="A91" s="23" t="inlineStr">
        <is>
          <t>红豆汤</t>
        </is>
      </c>
      <c r="B91" s="23" t="inlineStr">
        <is>
          <t>甜点</t>
        </is>
      </c>
      <c r="C91" s="24" t="inlineStr">
        <is>
          <t>—</t>
        </is>
      </c>
      <c r="D91" s="25" t="n">
        <v>418</v>
      </c>
      <c r="E91" s="25" t="n">
        <v>100</v>
      </c>
      <c r="F91" s="25" t="n">
        <v>250</v>
      </c>
      <c r="G91" s="25">
        <f>ROUND(D91*F91/100,0)</f>
        <v/>
      </c>
      <c r="H91" s="25">
        <f>ROUND(E91*F91/100,0)</f>
        <v/>
      </c>
      <c r="I91" s="23" t="inlineStr">
        <is>
          <t>碳水化合物(20g/100g)、膳食纤维(2g)</t>
        </is>
      </c>
      <c r="J91" s="23" t="inlineStr">
        <is>
          <t>铁、钾</t>
        </is>
      </c>
      <c r="K91" s="23" t="inlineStr">
        <is>
          <t>加冰糖或红糖调味</t>
        </is>
      </c>
      <c r="L91" s="23" t="inlineStr"/>
    </row>
    <row r="92">
      <c r="A92" s="23" t="inlineStr">
        <is>
          <t>绿豆汤</t>
        </is>
      </c>
      <c r="B92" s="23" t="inlineStr">
        <is>
          <t>甜点</t>
        </is>
      </c>
      <c r="C92" s="24" t="inlineStr">
        <is>
          <t>—</t>
        </is>
      </c>
      <c r="D92" s="25" t="n">
        <v>335</v>
      </c>
      <c r="E92" s="25" t="n">
        <v>80</v>
      </c>
      <c r="F92" s="25" t="n">
        <v>250</v>
      </c>
      <c r="G92" s="25">
        <f>ROUND(D92*F92/100,0)</f>
        <v/>
      </c>
      <c r="H92" s="25">
        <f>ROUND(E92*F92/100,0)</f>
        <v/>
      </c>
      <c r="I92" s="23" t="inlineStr">
        <is>
          <t>碳水化合物(16g/100g)、蛋白质(3g)</t>
        </is>
      </c>
      <c r="J92" s="23" t="inlineStr">
        <is>
          <t>膳食纤维、维生素B1</t>
        </is>
      </c>
      <c r="K92" s="23" t="inlineStr">
        <is>
          <t>清热解暑，低热量</t>
        </is>
      </c>
      <c r="L92" s="23" t="inlineStr"/>
    </row>
    <row r="93">
      <c r="A93" s="23" t="inlineStr">
        <is>
          <t>冰糖雪梨</t>
        </is>
      </c>
      <c r="B93" s="23" t="inlineStr">
        <is>
          <t>甜点</t>
        </is>
      </c>
      <c r="C93" s="24" t="inlineStr">
        <is>
          <t>—</t>
        </is>
      </c>
      <c r="D93" s="25" t="n">
        <v>251</v>
      </c>
      <c r="E93" s="25" t="n">
        <v>60</v>
      </c>
      <c r="F93" s="25" t="n">
        <v>300</v>
      </c>
      <c r="G93" s="25">
        <f>ROUND(D93*F93/100,0)</f>
        <v/>
      </c>
      <c r="H93" s="25">
        <f>ROUND(E93*F93/100,0)</f>
        <v/>
      </c>
      <c r="I93" s="23" t="inlineStr">
        <is>
          <t>碳水化合物(15g/100g)、糖(12g)</t>
        </is>
      </c>
      <c r="J93" s="23" t="inlineStr">
        <is>
          <t>维生素C、膳食纤维</t>
        </is>
      </c>
      <c r="K93" s="23" t="inlineStr">
        <is>
          <t>润肺清燥，含糖</t>
        </is>
      </c>
      <c r="L93" s="23" t="inlineStr"/>
    </row>
    <row r="94">
      <c r="A94" s="23" t="inlineStr">
        <is>
          <t>芒果布丁</t>
        </is>
      </c>
      <c r="B94" s="23" t="inlineStr">
        <is>
          <t>甜点</t>
        </is>
      </c>
      <c r="C94" s="24" t="inlineStr">
        <is>
          <t>—</t>
        </is>
      </c>
      <c r="D94" s="25" t="n">
        <v>502</v>
      </c>
      <c r="E94" s="25" t="n">
        <v>120</v>
      </c>
      <c r="F94" s="25" t="n">
        <v>150</v>
      </c>
      <c r="G94" s="25">
        <f>ROUND(D94*F94/100,0)</f>
        <v/>
      </c>
      <c r="H94" s="25">
        <f>ROUND(E94*F94/100,0)</f>
        <v/>
      </c>
      <c r="I94" s="23" t="inlineStr">
        <is>
          <t>碳水化合物(25g/100g)、糖(20g)</t>
        </is>
      </c>
      <c r="J94" s="23" t="inlineStr">
        <is>
          <t>维生素A、少量蛋白质</t>
        </is>
      </c>
      <c r="K94" s="23" t="inlineStr">
        <is>
          <t>市售版本糖分更高</t>
        </is>
      </c>
      <c r="L94" s="23" t="inlineStr"/>
    </row>
    <row r="95">
      <c r="A95" s="23" t="inlineStr">
        <is>
          <t>双皮奶</t>
        </is>
      </c>
      <c r="B95" s="23" t="inlineStr">
        <is>
          <t>甜点</t>
        </is>
      </c>
      <c r="C95" s="24" t="inlineStr">
        <is>
          <t>—</t>
        </is>
      </c>
      <c r="D95" s="25" t="n">
        <v>544</v>
      </c>
      <c r="E95" s="25" t="n">
        <v>130</v>
      </c>
      <c r="F95" s="25" t="n">
        <v>200</v>
      </c>
      <c r="G95" s="25">
        <f>ROUND(D95*F95/100,0)</f>
        <v/>
      </c>
      <c r="H95" s="25">
        <f>ROUND(E95*F95/100,0)</f>
        <v/>
      </c>
      <c r="I95" s="23" t="inlineStr">
        <is>
          <t>蛋白质(5g/100g)、碳水化合物(18g)</t>
        </is>
      </c>
      <c r="J95" s="23" t="inlineStr">
        <is>
          <t>钙、维生素D</t>
        </is>
      </c>
      <c r="K95" s="23" t="inlineStr">
        <is>
          <t>广式甜品，含糖较高</t>
        </is>
      </c>
      <c r="L95" s="23" t="inlineStr"/>
    </row>
    <row r="96">
      <c r="A96" s="23" t="inlineStr">
        <is>
          <t>杨枝甘露</t>
        </is>
      </c>
      <c r="B96" s="23" t="inlineStr">
        <is>
          <t>甜点</t>
        </is>
      </c>
      <c r="C96" s="24" t="inlineStr">
        <is>
          <t>—</t>
        </is>
      </c>
      <c r="D96" s="25" t="n">
        <v>418</v>
      </c>
      <c r="E96" s="25" t="n">
        <v>100</v>
      </c>
      <c r="F96" s="25" t="n">
        <v>300</v>
      </c>
      <c r="G96" s="25">
        <f>ROUND(D96*F96/100,0)</f>
        <v/>
      </c>
      <c r="H96" s="25">
        <f>ROUND(E96*F96/100,0)</f>
        <v/>
      </c>
      <c r="I96" s="23" t="inlineStr">
        <is>
          <t>碳水化合物(20g/100g)、糖(18g)</t>
        </is>
      </c>
      <c r="J96" s="23" t="inlineStr">
        <is>
          <t>维生素A、C（芒果）</t>
        </is>
      </c>
      <c r="K96" s="23" t="inlineStr">
        <is>
          <t>添加椰浆，热量较高</t>
        </is>
      </c>
      <c r="L96" s="23" t="inlineStr"/>
    </row>
    <row r="97">
      <c r="A97" s="23" t="inlineStr">
        <is>
          <t>糯米糍</t>
        </is>
      </c>
      <c r="B97" s="23" t="inlineStr">
        <is>
          <t>甜点</t>
        </is>
      </c>
      <c r="C97" s="24" t="inlineStr">
        <is>
          <t>—</t>
        </is>
      </c>
      <c r="D97" s="25" t="n">
        <v>1046</v>
      </c>
      <c r="E97" s="25" t="n">
        <v>250</v>
      </c>
      <c r="F97" s="25" t="n">
        <v>100</v>
      </c>
      <c r="G97" s="25">
        <f>ROUND(D97*F97/100,0)</f>
        <v/>
      </c>
      <c r="H97" s="25">
        <f>ROUND(E97*F97/100,0)</f>
        <v/>
      </c>
      <c r="I97" s="23" t="inlineStr">
        <is>
          <t>碳水化合物(60g/100g)、糖(25g)</t>
        </is>
      </c>
      <c r="J97" s="23" t="inlineStr">
        <is>
          <t>少量脂肪</t>
        </is>
      </c>
      <c r="K97" s="23" t="inlineStr">
        <is>
          <t>糯米制品，升糖指数高</t>
        </is>
      </c>
      <c r="L97" s="23" t="inlineStr"/>
    </row>
    <row r="98">
      <c r="A98" s="23" t="inlineStr">
        <is>
          <t>红豆年糕</t>
        </is>
      </c>
      <c r="B98" s="23" t="inlineStr">
        <is>
          <t>甜点</t>
        </is>
      </c>
      <c r="C98" s="24" t="inlineStr">
        <is>
          <t>—</t>
        </is>
      </c>
      <c r="D98" s="25" t="n">
        <v>1046</v>
      </c>
      <c r="E98" s="25" t="n">
        <v>250</v>
      </c>
      <c r="F98" s="25" t="n">
        <v>100</v>
      </c>
      <c r="G98" s="25">
        <f>ROUND(D98*F98/100,0)</f>
        <v/>
      </c>
      <c r="H98" s="25">
        <f>ROUND(E98*F98/100,0)</f>
        <v/>
      </c>
      <c r="I98" s="23" t="inlineStr">
        <is>
          <t>碳水化合物(62g/100g)、糖(18g)</t>
        </is>
      </c>
      <c r="J98" s="23" t="inlineStr">
        <is>
          <t>膳食纤维（红豆）</t>
        </is>
      </c>
      <c r="K98" s="23" t="inlineStr">
        <is>
          <t>高碳水，控血糖慎食</t>
        </is>
      </c>
      <c r="L98" s="23" t="inlineStr"/>
    </row>
    <row r="99">
      <c r="A99" s="23" t="inlineStr">
        <is>
          <t>冰淇淋（牛奶口味）</t>
        </is>
      </c>
      <c r="B99" s="23" t="inlineStr">
        <is>
          <t>甜点</t>
        </is>
      </c>
      <c r="C99" s="24" t="inlineStr">
        <is>
          <t>—</t>
        </is>
      </c>
      <c r="D99" s="25" t="n">
        <v>795</v>
      </c>
      <c r="E99" s="25" t="n">
        <v>190</v>
      </c>
      <c r="F99" s="25" t="n">
        <v>100</v>
      </c>
      <c r="G99" s="25">
        <f>ROUND(D99*F99/100,0)</f>
        <v/>
      </c>
      <c r="H99" s="25">
        <f>ROUND(E99*F99/100,0)</f>
        <v/>
      </c>
      <c r="I99" s="23" t="inlineStr">
        <is>
          <t>碳水化合物(25g/100g)、脂肪(8g)</t>
        </is>
      </c>
      <c r="J99" s="23" t="inlineStr">
        <is>
          <t>钙、维生素A</t>
        </is>
      </c>
      <c r="K99" s="23" t="inlineStr">
        <is>
          <t>热量因品牌含糖量不同</t>
        </is>
      </c>
      <c r="L99" s="23" t="inlineStr"/>
    </row>
    <row r="100">
      <c r="A100" s="23" t="inlineStr">
        <is>
          <t>老冰棍（红豆）</t>
        </is>
      </c>
      <c r="B100" s="23" t="inlineStr">
        <is>
          <t>甜点</t>
        </is>
      </c>
      <c r="C100" s="24" t="inlineStr">
        <is>
          <t>—</t>
        </is>
      </c>
      <c r="D100" s="25" t="n">
        <v>502</v>
      </c>
      <c r="E100" s="25" t="n">
        <v>120</v>
      </c>
      <c r="F100" s="25" t="n">
        <v>80</v>
      </c>
      <c r="G100" s="25">
        <f>ROUND(D100*F100/100,0)</f>
        <v/>
      </c>
      <c r="H100" s="25">
        <f>ROUND(E100*F100/100,0)</f>
        <v/>
      </c>
      <c r="I100" s="23" t="inlineStr">
        <is>
          <t>碳水化合物(28g/100g)、糖(22g)</t>
        </is>
      </c>
      <c r="J100" s="23" t="inlineStr">
        <is>
          <t>少量蛋白质和铁</t>
        </is>
      </c>
      <c r="K100" s="23" t="inlineStr">
        <is>
          <t>传统冰品，热量低于雪糕</t>
        </is>
      </c>
      <c r="L100" s="23" t="inlineStr"/>
    </row>
    <row r="101">
      <c r="A101" s="23" t="inlineStr">
        <is>
          <t>糖炒栗子</t>
        </is>
      </c>
      <c r="B101" s="23" t="inlineStr">
        <is>
          <t>甜点</t>
        </is>
      </c>
      <c r="C101" s="24" t="inlineStr">
        <is>
          <t>—</t>
        </is>
      </c>
      <c r="D101" s="25" t="n">
        <v>770</v>
      </c>
      <c r="E101" s="25" t="n">
        <v>184</v>
      </c>
      <c r="F101" s="25" t="n">
        <v>100</v>
      </c>
      <c r="G101" s="25">
        <f>ROUND(D101*F101/100,0)</f>
        <v/>
      </c>
      <c r="H101" s="25">
        <f>ROUND(E101*F101/100,0)</f>
        <v/>
      </c>
      <c r="I101" s="23" t="inlineStr">
        <is>
          <t>碳水化合物(40g/100g)、膳食纤维(1.2g)</t>
        </is>
      </c>
      <c r="J101" s="23" t="inlineStr">
        <is>
          <t>维生素C、钾、B族维生素</t>
        </is>
      </c>
      <c r="K101" s="23" t="inlineStr">
        <is>
          <t>秋冬零食，营养较丰富</t>
        </is>
      </c>
      <c r="L101" s="23" t="inlineStr"/>
    </row>
    <row r="102">
      <c r="A102" s="26" t="inlineStr">
        <is>
          <t>白开水</t>
        </is>
      </c>
      <c r="B102" s="26" t="inlineStr">
        <is>
          <t>饮品</t>
        </is>
      </c>
      <c r="C102" s="27" t="inlineStr">
        <is>
          <t>—</t>
        </is>
      </c>
      <c r="D102" s="28" t="n">
        <v>0</v>
      </c>
      <c r="E102" s="28" t="n">
        <v>0</v>
      </c>
      <c r="F102" s="28" t="n">
        <v>250</v>
      </c>
      <c r="G102" s="28">
        <f>ROUND(D102*F102/100,0)</f>
        <v/>
      </c>
      <c r="H102" s="28">
        <f>ROUND(E102*F102/100,0)</f>
        <v/>
      </c>
      <c r="I102" s="26" t="inlineStr">
        <is>
          <t>无热量</t>
        </is>
      </c>
      <c r="J102" s="26" t="inlineStr">
        <is>
          <t>矿物质（微量）</t>
        </is>
      </c>
      <c r="K102" s="26" t="inlineStr">
        <is>
          <t>最佳饮品</t>
        </is>
      </c>
      <c r="L102" s="26" t="inlineStr"/>
    </row>
    <row r="103">
      <c r="A103" s="26" t="inlineStr">
        <is>
          <t>豆浆（无糖）</t>
        </is>
      </c>
      <c r="B103" s="26" t="inlineStr">
        <is>
          <t>饮品</t>
        </is>
      </c>
      <c r="C103" s="27" t="inlineStr">
        <is>
          <t>—</t>
        </is>
      </c>
      <c r="D103" s="28" t="n">
        <v>167</v>
      </c>
      <c r="E103" s="28" t="n">
        <v>40</v>
      </c>
      <c r="F103" s="28" t="n">
        <v>250</v>
      </c>
      <c r="G103" s="28">
        <f>ROUND(D103*F103/100,0)</f>
        <v/>
      </c>
      <c r="H103" s="28">
        <f>ROUND(E103*F103/100,0)</f>
        <v/>
      </c>
      <c r="I103" s="26" t="inlineStr">
        <is>
          <t>蛋白质(3.5g/100ml)、脂肪(2g)</t>
        </is>
      </c>
      <c r="J103" s="26" t="inlineStr">
        <is>
          <t>钙、大豆异黄酮</t>
        </is>
      </c>
      <c r="K103" s="26" t="inlineStr">
        <is>
          <t>植物蛋白饮品</t>
        </is>
      </c>
      <c r="L103" s="26" t="inlineStr"/>
    </row>
    <row r="104">
      <c r="A104" s="26" t="inlineStr">
        <is>
          <t>豆浆（加糖）</t>
        </is>
      </c>
      <c r="B104" s="26" t="inlineStr">
        <is>
          <t>饮品</t>
        </is>
      </c>
      <c r="C104" s="27" t="inlineStr">
        <is>
          <t>—</t>
        </is>
      </c>
      <c r="D104" s="28" t="n">
        <v>251</v>
      </c>
      <c r="E104" s="28" t="n">
        <v>60</v>
      </c>
      <c r="F104" s="28" t="n">
        <v>250</v>
      </c>
      <c r="G104" s="28">
        <f>ROUND(D104*F104/100,0)</f>
        <v/>
      </c>
      <c r="H104" s="28">
        <f>ROUND(E104*F104/100,0)</f>
        <v/>
      </c>
      <c r="I104" s="26" t="inlineStr">
        <is>
          <t>蛋白质(3g/100ml)、碳水化合物(6g)</t>
        </is>
      </c>
      <c r="J104" s="26" t="inlineStr">
        <is>
          <t>大豆异黄酮</t>
        </is>
      </c>
      <c r="K104" s="26" t="inlineStr">
        <is>
          <t>加糖后热量增加</t>
        </is>
      </c>
      <c r="L104" s="26" t="inlineStr"/>
    </row>
    <row r="105">
      <c r="A105" s="26" t="inlineStr">
        <is>
          <t>牛奶（全脂）</t>
        </is>
      </c>
      <c r="B105" s="26" t="inlineStr">
        <is>
          <t>饮品</t>
        </is>
      </c>
      <c r="C105" s="27" t="inlineStr">
        <is>
          <t>—</t>
        </is>
      </c>
      <c r="D105" s="28" t="n">
        <v>272</v>
      </c>
      <c r="E105" s="28" t="n">
        <v>65</v>
      </c>
      <c r="F105" s="28" t="n">
        <v>250</v>
      </c>
      <c r="G105" s="28">
        <f>ROUND(D105*F105/100,0)</f>
        <v/>
      </c>
      <c r="H105" s="28">
        <f>ROUND(E105*F105/100,0)</f>
        <v/>
      </c>
      <c r="I105" s="26" t="inlineStr">
        <is>
          <t>蛋白质(3.3g/100ml)、钙(120mg)</t>
        </is>
      </c>
      <c r="J105" s="26" t="inlineStr">
        <is>
          <t>维生素D、A、B2</t>
        </is>
      </c>
      <c r="K105" s="26" t="inlineStr">
        <is>
          <t>骨骼健康重要来源</t>
        </is>
      </c>
      <c r="L105" s="26" t="inlineStr"/>
    </row>
    <row r="106">
      <c r="A106" s="26" t="inlineStr">
        <is>
          <t>牛奶（脱脂）</t>
        </is>
      </c>
      <c r="B106" s="26" t="inlineStr">
        <is>
          <t>饮品</t>
        </is>
      </c>
      <c r="C106" s="27" t="inlineStr">
        <is>
          <t>—</t>
        </is>
      </c>
      <c r="D106" s="28" t="n">
        <v>146</v>
      </c>
      <c r="E106" s="28" t="n">
        <v>35</v>
      </c>
      <c r="F106" s="28" t="n">
        <v>250</v>
      </c>
      <c r="G106" s="28">
        <f>ROUND(D106*F106/100,0)</f>
        <v/>
      </c>
      <c r="H106" s="28">
        <f>ROUND(E106*F106/100,0)</f>
        <v/>
      </c>
      <c r="I106" s="26" t="inlineStr">
        <is>
          <t>蛋白质(3.4g/100ml)、钙(120mg)</t>
        </is>
      </c>
      <c r="J106" s="26" t="inlineStr">
        <is>
          <t>维生素B2、脂肪极低</t>
        </is>
      </c>
      <c r="K106" s="26" t="inlineStr">
        <is>
          <t>减脂期优选</t>
        </is>
      </c>
      <c r="L106" s="26" t="inlineStr"/>
    </row>
    <row r="107">
      <c r="A107" s="26" t="inlineStr">
        <is>
          <t>纯橙汁（鲜榨）</t>
        </is>
      </c>
      <c r="B107" s="26" t="inlineStr">
        <is>
          <t>饮品</t>
        </is>
      </c>
      <c r="C107" s="27" t="inlineStr">
        <is>
          <t>—</t>
        </is>
      </c>
      <c r="D107" s="28" t="n">
        <v>188</v>
      </c>
      <c r="E107" s="28" t="n">
        <v>45</v>
      </c>
      <c r="F107" s="28" t="n">
        <v>250</v>
      </c>
      <c r="G107" s="28">
        <f>ROUND(D107*F107/100,0)</f>
        <v/>
      </c>
      <c r="H107" s="28">
        <f>ROUND(E107*F107/100,0)</f>
        <v/>
      </c>
      <c r="I107" s="26" t="inlineStr">
        <is>
          <t>碳水化合物(10g/100ml)、维生素C</t>
        </is>
      </c>
      <c r="J107" s="26" t="inlineStr">
        <is>
          <t>钾、叶酸</t>
        </is>
      </c>
      <c r="K107" s="26" t="inlineStr">
        <is>
          <t>无膳食纤维，升糖快</t>
        </is>
      </c>
      <c r="L107" s="26" t="inlineStr"/>
    </row>
    <row r="108">
      <c r="A108" s="26" t="inlineStr">
        <is>
          <t>可乐（含糖）</t>
        </is>
      </c>
      <c r="B108" s="26" t="inlineStr">
        <is>
          <t>饮品</t>
        </is>
      </c>
      <c r="C108" s="27" t="inlineStr">
        <is>
          <t>—</t>
        </is>
      </c>
      <c r="D108" s="28" t="n">
        <v>180</v>
      </c>
      <c r="E108" s="28" t="n">
        <v>43</v>
      </c>
      <c r="F108" s="28" t="n">
        <v>330</v>
      </c>
      <c r="G108" s="28">
        <f>ROUND(D108*F108/100,0)</f>
        <v/>
      </c>
      <c r="H108" s="28">
        <f>ROUND(E108*F108/100,0)</f>
        <v/>
      </c>
      <c r="I108" s="26" t="inlineStr">
        <is>
          <t>碳水化合物(11g/100ml)、糖(11g)</t>
        </is>
      </c>
      <c r="J108" s="26" t="inlineStr">
        <is>
          <t>磷酸、咖啡因</t>
        </is>
      </c>
      <c r="K108" s="26" t="inlineStr">
        <is>
          <t>高糖饮料，不建议频繁饮用</t>
        </is>
      </c>
      <c r="L108" s="26" t="inlineStr"/>
    </row>
    <row r="109">
      <c r="A109" s="26" t="inlineStr">
        <is>
          <t>绿茶（无糖）</t>
        </is>
      </c>
      <c r="B109" s="26" t="inlineStr">
        <is>
          <t>饮品</t>
        </is>
      </c>
      <c r="C109" s="27" t="inlineStr">
        <is>
          <t>—</t>
        </is>
      </c>
      <c r="D109" s="28" t="n">
        <v>5</v>
      </c>
      <c r="E109" s="28" t="n">
        <v>1</v>
      </c>
      <c r="F109" s="28" t="n">
        <v>300</v>
      </c>
      <c r="G109" s="28">
        <f>ROUND(D109*F109/100,0)</f>
        <v/>
      </c>
      <c r="H109" s="28">
        <f>ROUND(E109*F109/100,0)</f>
        <v/>
      </c>
      <c r="I109" s="26" t="inlineStr">
        <is>
          <t>茶多酚、EGCG、咖啡因</t>
        </is>
      </c>
      <c r="J109" s="26" t="inlineStr">
        <is>
          <t>氟、锰</t>
        </is>
      </c>
      <c r="K109" s="26" t="inlineStr">
        <is>
          <t>抗氧化，热量可忽略</t>
        </is>
      </c>
      <c r="L109" s="26" t="inlineStr"/>
    </row>
    <row r="110">
      <c r="A110" s="26" t="inlineStr">
        <is>
          <t>奶茶（珍珠全糖）</t>
        </is>
      </c>
      <c r="B110" s="26" t="inlineStr">
        <is>
          <t>饮品</t>
        </is>
      </c>
      <c r="C110" s="27" t="inlineStr">
        <is>
          <t>—</t>
        </is>
      </c>
      <c r="D110" s="28" t="n">
        <v>418</v>
      </c>
      <c r="E110" s="28" t="n">
        <v>100</v>
      </c>
      <c r="F110" s="28" t="n">
        <v>500</v>
      </c>
      <c r="G110" s="28">
        <f>ROUND(D110*F110/100,0)</f>
        <v/>
      </c>
      <c r="H110" s="28">
        <f>ROUND(E110*F110/100,0)</f>
        <v/>
      </c>
      <c r="I110" s="26" t="inlineStr">
        <is>
          <t>碳水化合物(20g/100ml)、糖(15g)</t>
        </is>
      </c>
      <c r="J110" s="26" t="inlineStr">
        <is>
          <t>脂肪(3g)、珍珠高淀粉</t>
        </is>
      </c>
      <c r="K110" s="26" t="inlineStr">
        <is>
          <t>高热量高糖，一杯约500kcal</t>
        </is>
      </c>
      <c r="L110" s="26" t="inlineStr"/>
    </row>
    <row r="111">
      <c r="A111" s="26" t="inlineStr">
        <is>
          <t>奶茶（三分糖少冰）</t>
        </is>
      </c>
      <c r="B111" s="26" t="inlineStr">
        <is>
          <t>饮品</t>
        </is>
      </c>
      <c r="C111" s="27" t="inlineStr">
        <is>
          <t>—</t>
        </is>
      </c>
      <c r="D111" s="28" t="n">
        <v>251</v>
      </c>
      <c r="E111" s="28" t="n">
        <v>60</v>
      </c>
      <c r="F111" s="28" t="n">
        <v>500</v>
      </c>
      <c r="G111" s="28">
        <f>ROUND(D111*F111/100,0)</f>
        <v/>
      </c>
      <c r="H111" s="28">
        <f>ROUND(E111*F111/100,0)</f>
        <v/>
      </c>
      <c r="I111" s="26" t="inlineStr">
        <is>
          <t>碳水化合物(12g/100ml)、糖(8g)</t>
        </is>
      </c>
      <c r="J111" s="26" t="inlineStr">
        <is>
          <t>少量蛋白质（奶）</t>
        </is>
      </c>
      <c r="K111" s="26" t="inlineStr">
        <is>
          <t>减糖版热量相对低</t>
        </is>
      </c>
      <c r="L111" s="26" t="inlineStr"/>
    </row>
    <row r="112">
      <c r="A112" s="26" t="inlineStr">
        <is>
          <t>咖啡（黑咖啡）</t>
        </is>
      </c>
      <c r="B112" s="26" t="inlineStr">
        <is>
          <t>饮品</t>
        </is>
      </c>
      <c r="C112" s="27" t="inlineStr">
        <is>
          <t>—</t>
        </is>
      </c>
      <c r="D112" s="28" t="n">
        <v>8</v>
      </c>
      <c r="E112" s="28" t="n">
        <v>2</v>
      </c>
      <c r="F112" s="28" t="n">
        <v>250</v>
      </c>
      <c r="G112" s="28">
        <f>ROUND(D112*F112/100,0)</f>
        <v/>
      </c>
      <c r="H112" s="28">
        <f>ROUND(E112*F112/100,0)</f>
        <v/>
      </c>
      <c r="I112" s="26" t="inlineStr">
        <is>
          <t>咖啡因(95mg/杯)、多酚类</t>
        </is>
      </c>
      <c r="J112" s="26" t="inlineStr">
        <is>
          <t>烟酸、镁</t>
        </is>
      </c>
      <c r="K112" s="26" t="inlineStr">
        <is>
          <t>几乎无热量，加奶加糖则不同</t>
        </is>
      </c>
      <c r="L112" s="26" t="inlineStr"/>
    </row>
    <row r="113">
      <c r="A113" s="26" t="inlineStr">
        <is>
          <t>拿铁（全脂奶）</t>
        </is>
      </c>
      <c r="B113" s="26" t="inlineStr">
        <is>
          <t>饮品</t>
        </is>
      </c>
      <c r="C113" s="27" t="inlineStr">
        <is>
          <t>—</t>
        </is>
      </c>
      <c r="D113" s="28" t="n">
        <v>251</v>
      </c>
      <c r="E113" s="28" t="n">
        <v>60</v>
      </c>
      <c r="F113" s="28" t="n">
        <v>350</v>
      </c>
      <c r="G113" s="28">
        <f>ROUND(D113*F113/100,0)</f>
        <v/>
      </c>
      <c r="H113" s="28">
        <f>ROUND(E113*F113/100,0)</f>
        <v/>
      </c>
      <c r="I113" s="26" t="inlineStr">
        <is>
          <t>蛋白质(4g/100ml)、钙</t>
        </is>
      </c>
      <c r="J113" s="26" t="inlineStr">
        <is>
          <t>脂肪(3g)、咖啡因</t>
        </is>
      </c>
      <c r="K113" s="26" t="inlineStr">
        <is>
          <t>标准拿铁约210kcal</t>
        </is>
      </c>
      <c r="L113" s="26" t="inlineStr"/>
    </row>
    <row r="114">
      <c r="A114" s="26" t="inlineStr">
        <is>
          <t>椰子水</t>
        </is>
      </c>
      <c r="B114" s="26" t="inlineStr">
        <is>
          <t>饮品</t>
        </is>
      </c>
      <c r="C114" s="27" t="inlineStr">
        <is>
          <t>—</t>
        </is>
      </c>
      <c r="D114" s="28" t="n">
        <v>79</v>
      </c>
      <c r="E114" s="28" t="n">
        <v>19</v>
      </c>
      <c r="F114" s="28" t="n">
        <v>330</v>
      </c>
      <c r="G114" s="28">
        <f>ROUND(D114*F114/100,0)</f>
        <v/>
      </c>
      <c r="H114" s="28">
        <f>ROUND(E114*F114/100,0)</f>
        <v/>
      </c>
      <c r="I114" s="26" t="inlineStr">
        <is>
          <t>碳水化合物(4g/100ml)、钾(600mg)</t>
        </is>
      </c>
      <c r="J114" s="26" t="inlineStr">
        <is>
          <t>镁、维生素C</t>
        </is>
      </c>
      <c r="K114" s="26" t="inlineStr">
        <is>
          <t>天然电解质饮料</t>
        </is>
      </c>
      <c r="L114" s="26" t="inlineStr"/>
    </row>
    <row r="115">
      <c r="A115" s="26" t="inlineStr">
        <is>
          <t>王老吉/加多宝</t>
        </is>
      </c>
      <c r="B115" s="26" t="inlineStr">
        <is>
          <t>饮品</t>
        </is>
      </c>
      <c r="C115" s="27" t="inlineStr">
        <is>
          <t>—</t>
        </is>
      </c>
      <c r="D115" s="28" t="n">
        <v>180</v>
      </c>
      <c r="E115" s="28" t="n">
        <v>43</v>
      </c>
      <c r="F115" s="28" t="n">
        <v>310</v>
      </c>
      <c r="G115" s="28">
        <f>ROUND(D115*F115/100,0)</f>
        <v/>
      </c>
      <c r="H115" s="28">
        <f>ROUND(E115*F115/100,0)</f>
        <v/>
      </c>
      <c r="I115" s="26" t="inlineStr">
        <is>
          <t>碳水化合物(10g/100ml)、糖(9g)</t>
        </is>
      </c>
      <c r="J115" s="26" t="inlineStr">
        <is>
          <t>中草药提取物</t>
        </is>
      </c>
      <c r="K115" s="26" t="inlineStr">
        <is>
          <t>含糖量与可乐相当</t>
        </is>
      </c>
      <c r="L115" s="26" t="inlineStr"/>
    </row>
    <row r="116">
      <c r="A116" s="26" t="inlineStr">
        <is>
          <t>米酒（醪糟）</t>
        </is>
      </c>
      <c r="B116" s="26" t="inlineStr">
        <is>
          <t>饮品</t>
        </is>
      </c>
      <c r="C116" s="27" t="inlineStr">
        <is>
          <t>—</t>
        </is>
      </c>
      <c r="D116" s="28" t="n">
        <v>226</v>
      </c>
      <c r="E116" s="28" t="n">
        <v>54</v>
      </c>
      <c r="F116" s="28" t="n">
        <v>200</v>
      </c>
      <c r="G116" s="28">
        <f>ROUND(D116*F116/100,0)</f>
        <v/>
      </c>
      <c r="H116" s="28">
        <f>ROUND(E116*F116/100,0)</f>
        <v/>
      </c>
      <c r="I116" s="26" t="inlineStr">
        <is>
          <t>碳水化合物(12g/100ml)、酒精(4%)</t>
        </is>
      </c>
      <c r="J116" s="26" t="inlineStr">
        <is>
          <t>少量B族维生素</t>
        </is>
      </c>
      <c r="K116" s="26" t="inlineStr">
        <is>
          <t>含酒精，孕妇儿童慎用</t>
        </is>
      </c>
      <c r="L116" s="26" t="inlineStr"/>
    </row>
    <row r="117">
      <c r="A117" s="26" t="inlineStr">
        <is>
          <t>豆浆油条（套餐）</t>
        </is>
      </c>
      <c r="B117" s="26" t="inlineStr">
        <is>
          <t>饮品</t>
        </is>
      </c>
      <c r="C117" s="27" t="inlineStr">
        <is>
          <t>—</t>
        </is>
      </c>
      <c r="D117" s="28" t="n">
        <v>628</v>
      </c>
      <c r="E117" s="28" t="n">
        <v>150</v>
      </c>
      <c r="F117" s="28" t="n">
        <v>400</v>
      </c>
      <c r="G117" s="28">
        <f>ROUND(D117*F117/100,0)</f>
        <v/>
      </c>
      <c r="H117" s="28">
        <f>ROUND(E117*F117/100,0)</f>
        <v/>
      </c>
      <c r="I117" s="26" t="inlineStr">
        <is>
          <t>碳水化合物(25g/100g)、蛋白质(5g)</t>
        </is>
      </c>
      <c r="J117" s="26" t="inlineStr">
        <is>
          <t>脂肪(7g)、钠较高</t>
        </is>
      </c>
      <c r="K117" s="26" t="inlineStr">
        <is>
          <t>传统早餐组合</t>
        </is>
      </c>
      <c r="L117" s="26" t="inlineStr"/>
    </row>
    <row r="118">
      <c r="A118" s="29" t="inlineStr">
        <is>
          <t>黄焖鸡米饭</t>
        </is>
      </c>
      <c r="B118" s="29" t="inlineStr">
        <is>
          <t>外卖常见</t>
        </is>
      </c>
      <c r="C118" s="30" t="inlineStr">
        <is>
          <t>—</t>
        </is>
      </c>
      <c r="D118" s="31" t="n">
        <v>712</v>
      </c>
      <c r="E118" s="31" t="n">
        <v>170</v>
      </c>
      <c r="F118" s="31" t="n">
        <v>500</v>
      </c>
      <c r="G118" s="31">
        <f>ROUND(D118*F118/100,0)</f>
        <v/>
      </c>
      <c r="H118" s="31">
        <f>ROUND(E118*F118/100,0)</f>
        <v/>
      </c>
      <c r="I118" s="29" t="inlineStr">
        <is>
          <t>蛋白质(12g/100g)、碳水化合物(20g)</t>
        </is>
      </c>
      <c r="J118" s="29" t="inlineStr">
        <is>
          <t>脂肪(6g)、钠较高</t>
        </is>
      </c>
      <c r="K118" s="29" t="inlineStr">
        <is>
          <t>一盒约750-900kcal</t>
        </is>
      </c>
      <c r="L118" s="29" t="inlineStr"/>
    </row>
    <row r="119">
      <c r="A119" s="29" t="inlineStr">
        <is>
          <t>盖浇饭（猪肉）</t>
        </is>
      </c>
      <c r="B119" s="29" t="inlineStr">
        <is>
          <t>外卖常见</t>
        </is>
      </c>
      <c r="C119" s="30" t="inlineStr">
        <is>
          <t>—</t>
        </is>
      </c>
      <c r="D119" s="31" t="n">
        <v>795</v>
      </c>
      <c r="E119" s="31" t="n">
        <v>190</v>
      </c>
      <c r="F119" s="31" t="n">
        <v>500</v>
      </c>
      <c r="G119" s="31">
        <f>ROUND(D119*F119/100,0)</f>
        <v/>
      </c>
      <c r="H119" s="31">
        <f>ROUND(E119*F119/100,0)</f>
        <v/>
      </c>
      <c r="I119" s="29" t="inlineStr">
        <is>
          <t>碳水化合物(25g/100g)、蛋白质(12g)</t>
        </is>
      </c>
      <c r="J119" s="29" t="inlineStr">
        <is>
          <t>脂肪(8g)</t>
        </is>
      </c>
      <c r="K119" s="29" t="inlineStr">
        <is>
          <t>外卖份量大，热量易超标</t>
        </is>
      </c>
      <c r="L119" s="29" t="inlineStr"/>
    </row>
    <row r="120">
      <c r="A120" s="29" t="inlineStr">
        <is>
          <t>麻辣烫（均值）</t>
        </is>
      </c>
      <c r="B120" s="29" t="inlineStr">
        <is>
          <t>外卖常见</t>
        </is>
      </c>
      <c r="C120" s="30" t="inlineStr">
        <is>
          <t>—</t>
        </is>
      </c>
      <c r="D120" s="31" t="n">
        <v>502</v>
      </c>
      <c r="E120" s="31" t="n">
        <v>120</v>
      </c>
      <c r="F120" s="31" t="n">
        <v>400</v>
      </c>
      <c r="G120" s="31">
        <f>ROUND(D120*F120/100,0)</f>
        <v/>
      </c>
      <c r="H120" s="31">
        <f>ROUND(E120*F120/100,0)</f>
        <v/>
      </c>
      <c r="I120" s="29" t="inlineStr">
        <is>
          <t>蛋白质(8g/100g)、脂肪(6g)</t>
        </is>
      </c>
      <c r="J120" s="29" t="inlineStr">
        <is>
          <t>碳水化合物(12g)、钠极高</t>
        </is>
      </c>
      <c r="K120" s="29" t="inlineStr">
        <is>
          <t>汤底热量高，蔬菜选择多可降低热量</t>
        </is>
      </c>
      <c r="L120" s="29" t="inlineStr"/>
    </row>
    <row r="121">
      <c r="A121" s="29" t="inlineStr">
        <is>
          <t>冒菜</t>
        </is>
      </c>
      <c r="B121" s="29" t="inlineStr">
        <is>
          <t>外卖常见</t>
        </is>
      </c>
      <c r="C121" s="30" t="inlineStr">
        <is>
          <t>—</t>
        </is>
      </c>
      <c r="D121" s="31" t="n">
        <v>544</v>
      </c>
      <c r="E121" s="31" t="n">
        <v>130</v>
      </c>
      <c r="F121" s="31" t="n">
        <v>400</v>
      </c>
      <c r="G121" s="31">
        <f>ROUND(D121*F121/100,0)</f>
        <v/>
      </c>
      <c r="H121" s="31">
        <f>ROUND(E121*F121/100,0)</f>
        <v/>
      </c>
      <c r="I121" s="29" t="inlineStr">
        <is>
          <t>蛋白质(8g/100g)、脂肪(7g)</t>
        </is>
      </c>
      <c r="J121" s="29" t="inlineStr">
        <is>
          <t>碳水化合物(12g)、钠高</t>
        </is>
      </c>
      <c r="K121" s="29" t="inlineStr">
        <is>
          <t>与麻辣烫类似</t>
        </is>
      </c>
      <c r="L121" s="29" t="inlineStr"/>
    </row>
    <row r="122">
      <c r="A122" s="29" t="inlineStr">
        <is>
          <t>沙县小吃（蒸饺+拌面）</t>
        </is>
      </c>
      <c r="B122" s="29" t="inlineStr">
        <is>
          <t>外卖常见</t>
        </is>
      </c>
      <c r="C122" s="30" t="inlineStr">
        <is>
          <t>—</t>
        </is>
      </c>
      <c r="D122" s="31" t="n">
        <v>628</v>
      </c>
      <c r="E122" s="31" t="n">
        <v>150</v>
      </c>
      <c r="F122" s="31" t="n">
        <v>400</v>
      </c>
      <c r="G122" s="31">
        <f>ROUND(D122*F122/100,0)</f>
        <v/>
      </c>
      <c r="H122" s="31">
        <f>ROUND(E122*F122/100,0)</f>
        <v/>
      </c>
      <c r="I122" s="29" t="inlineStr">
        <is>
          <t>碳水化合物(30g/100g)、蛋白质(8g)</t>
        </is>
      </c>
      <c r="J122" s="29" t="inlineStr">
        <is>
          <t>脂肪(5g)</t>
        </is>
      </c>
      <c r="K122" s="29" t="inlineStr">
        <is>
          <t>经济实惠，热量适中</t>
        </is>
      </c>
      <c r="L122" s="29" t="inlineStr"/>
    </row>
    <row r="123">
      <c r="A123" s="29" t="inlineStr">
        <is>
          <t>炸鸡腿（快餐式）</t>
        </is>
      </c>
      <c r="B123" s="29" t="inlineStr">
        <is>
          <t>外卖常见</t>
        </is>
      </c>
      <c r="C123" s="30" t="inlineStr">
        <is>
          <t>—</t>
        </is>
      </c>
      <c r="D123" s="31" t="n">
        <v>1172</v>
      </c>
      <c r="E123" s="31" t="n">
        <v>280</v>
      </c>
      <c r="F123" s="31" t="n">
        <v>180</v>
      </c>
      <c r="G123" s="31">
        <f>ROUND(D123*F123/100,0)</f>
        <v/>
      </c>
      <c r="H123" s="31">
        <f>ROUND(E123*F123/100,0)</f>
        <v/>
      </c>
      <c r="I123" s="29" t="inlineStr">
        <is>
          <t>蛋白质(16g/100g)、脂肪(18g)</t>
        </is>
      </c>
      <c r="J123" s="29" t="inlineStr">
        <is>
          <t>碳水化合物(12g)、钠高</t>
        </is>
      </c>
      <c r="K123" s="29" t="inlineStr">
        <is>
          <t>油炸外衣热量高</t>
        </is>
      </c>
      <c r="L123" s="29" t="inlineStr"/>
    </row>
    <row r="124">
      <c r="A124" s="29" t="inlineStr">
        <is>
          <t>炸鸡排</t>
        </is>
      </c>
      <c r="B124" s="29" t="inlineStr">
        <is>
          <t>外卖常见</t>
        </is>
      </c>
      <c r="C124" s="30" t="inlineStr">
        <is>
          <t>—</t>
        </is>
      </c>
      <c r="D124" s="31" t="n">
        <v>1255</v>
      </c>
      <c r="E124" s="31" t="n">
        <v>300</v>
      </c>
      <c r="F124" s="31" t="n">
        <v>200</v>
      </c>
      <c r="G124" s="31">
        <f>ROUND(D124*F124/100,0)</f>
        <v/>
      </c>
      <c r="H124" s="31">
        <f>ROUND(E124*F124/100,0)</f>
        <v/>
      </c>
      <c r="I124" s="29" t="inlineStr">
        <is>
          <t>蛋白质(18g/100g)、脂肪(20g)</t>
        </is>
      </c>
      <c r="J124" s="29" t="inlineStr">
        <is>
          <t>碳水化合物(15g)、钠高</t>
        </is>
      </c>
      <c r="K124" s="29" t="inlineStr">
        <is>
          <t>台式鸡排热量高</t>
        </is>
      </c>
      <c r="L124" s="29" t="inlineStr"/>
    </row>
    <row r="125">
      <c r="A125" s="29" t="inlineStr">
        <is>
          <t>汉堡（牛肉）</t>
        </is>
      </c>
      <c r="B125" s="29" t="inlineStr">
        <is>
          <t>外卖常见</t>
        </is>
      </c>
      <c r="C125" s="30" t="inlineStr">
        <is>
          <t>—</t>
        </is>
      </c>
      <c r="D125" s="31" t="n">
        <v>1046</v>
      </c>
      <c r="E125" s="31" t="n">
        <v>250</v>
      </c>
      <c r="F125" s="31" t="n">
        <v>200</v>
      </c>
      <c r="G125" s="31">
        <f>ROUND(D125*F125/100,0)</f>
        <v/>
      </c>
      <c r="H125" s="31">
        <f>ROUND(E125*F125/100,0)</f>
        <v/>
      </c>
      <c r="I125" s="29" t="inlineStr">
        <is>
          <t>蛋白质(13g/100g)、脂肪(12g)</t>
        </is>
      </c>
      <c r="J125" s="29" t="inlineStr">
        <is>
          <t>碳水化合物(28g)、钠较高</t>
        </is>
      </c>
      <c r="K125" s="29" t="inlineStr">
        <is>
          <t>西式快餐</t>
        </is>
      </c>
      <c r="L125" s="29" t="inlineStr"/>
    </row>
    <row r="126">
      <c r="A126" s="29" t="inlineStr">
        <is>
          <t>披萨（芝士）</t>
        </is>
      </c>
      <c r="B126" s="29" t="inlineStr">
        <is>
          <t>外卖常见</t>
        </is>
      </c>
      <c r="C126" s="30" t="inlineStr">
        <is>
          <t>—</t>
        </is>
      </c>
      <c r="D126" s="31" t="n">
        <v>1046</v>
      </c>
      <c r="E126" s="31" t="n">
        <v>250</v>
      </c>
      <c r="F126" s="31" t="n">
        <v>200</v>
      </c>
      <c r="G126" s="31">
        <f>ROUND(D126*F126/100,0)</f>
        <v/>
      </c>
      <c r="H126" s="31">
        <f>ROUND(E126*F126/100,0)</f>
        <v/>
      </c>
      <c r="I126" s="29" t="inlineStr">
        <is>
          <t>碳水化合物(30g/100g)、脂肪(12g)</t>
        </is>
      </c>
      <c r="J126" s="29" t="inlineStr">
        <is>
          <t>蛋白质(11g)、钠高</t>
        </is>
      </c>
      <c r="K126" s="29" t="inlineStr">
        <is>
          <t>一块约250kcal，多片热量叠加快</t>
        </is>
      </c>
      <c r="L126" s="29" t="inlineStr"/>
    </row>
    <row r="127">
      <c r="A127" s="29" t="inlineStr">
        <is>
          <t>炒河粉</t>
        </is>
      </c>
      <c r="B127" s="29" t="inlineStr">
        <is>
          <t>外卖常见</t>
        </is>
      </c>
      <c r="C127" s="30" t="inlineStr">
        <is>
          <t>—</t>
        </is>
      </c>
      <c r="D127" s="31" t="n">
        <v>628</v>
      </c>
      <c r="E127" s="31" t="n">
        <v>150</v>
      </c>
      <c r="F127" s="31" t="n">
        <v>300</v>
      </c>
      <c r="G127" s="31">
        <f>ROUND(D127*F127/100,0)</f>
        <v/>
      </c>
      <c r="H127" s="31">
        <f>ROUND(E127*F127/100,0)</f>
        <v/>
      </c>
      <c r="I127" s="29" t="inlineStr">
        <is>
          <t>碳水化合物(25g/100g)、蛋白质(5g)</t>
        </is>
      </c>
      <c r="J127" s="29" t="inlineStr">
        <is>
          <t>脂肪(5g)、钠较高</t>
        </is>
      </c>
      <c r="K127" s="29" t="inlineStr">
        <is>
          <t>广式常见</t>
        </is>
      </c>
      <c r="L127" s="29" t="inlineStr"/>
    </row>
    <row r="128">
      <c r="A128" s="29" t="inlineStr">
        <is>
          <t>潮汕牛肉火锅（蘸料另计）</t>
        </is>
      </c>
      <c r="B128" s="29" t="inlineStr">
        <is>
          <t>外卖常见</t>
        </is>
      </c>
      <c r="C128" s="30" t="inlineStr">
        <is>
          <t>—</t>
        </is>
      </c>
      <c r="D128" s="31" t="n">
        <v>502</v>
      </c>
      <c r="E128" s="31" t="n">
        <v>120</v>
      </c>
      <c r="F128" s="31" t="n">
        <v>400</v>
      </c>
      <c r="G128" s="31">
        <f>ROUND(D128*F128/100,0)</f>
        <v/>
      </c>
      <c r="H128" s="31">
        <f>ROUND(E128*F128/100,0)</f>
        <v/>
      </c>
      <c r="I128" s="29" t="inlineStr">
        <is>
          <t>蛋白质(16g/100g)、脂肪(7g)</t>
        </is>
      </c>
      <c r="J128" s="29" t="inlineStr">
        <is>
          <t>铁、锌</t>
        </is>
      </c>
      <c r="K128" s="29" t="inlineStr">
        <is>
          <t>食材本身热量适中，蘸料热量高</t>
        </is>
      </c>
      <c r="L128" s="29" t="inlineStr"/>
    </row>
    <row r="129">
      <c r="A129" s="29" t="inlineStr">
        <is>
          <t>肯德基/麦当劳套餐（均值）</t>
        </is>
      </c>
      <c r="B129" s="29" t="inlineStr">
        <is>
          <t>外卖常见</t>
        </is>
      </c>
      <c r="C129" s="30" t="inlineStr">
        <is>
          <t>—</t>
        </is>
      </c>
      <c r="D129" s="31" t="n">
        <v>2928</v>
      </c>
      <c r="E129" s="31" t="n">
        <v>700</v>
      </c>
      <c r="F129" s="31" t="n">
        <v>600</v>
      </c>
      <c r="G129" s="31">
        <f>ROUND(D129*F129/100,0)</f>
        <v/>
      </c>
      <c r="H129" s="31">
        <f>ROUND(E129*F129/100,0)</f>
        <v/>
      </c>
      <c r="I129" s="29" t="inlineStr">
        <is>
          <t>碳水化合物(60g)、脂肪(30g)</t>
        </is>
      </c>
      <c r="J129" s="29" t="inlineStr">
        <is>
          <t>蛋白质(25g)、钠极高</t>
        </is>
      </c>
      <c r="K129" s="29" t="inlineStr">
        <is>
          <t>汉堡+薯条+可乐套餐估算</t>
        </is>
      </c>
      <c r="L129" s="29" t="inlineStr"/>
    </row>
    <row r="130">
      <c r="A130" s="2" t="inlineStr">
        <is>
          <t>手抓饼</t>
        </is>
      </c>
      <c r="B130" s="2" t="inlineStr">
        <is>
          <t>主食</t>
        </is>
      </c>
      <c r="C130" s="3" t="inlineStr">
        <is>
          <t>—</t>
        </is>
      </c>
      <c r="D130" s="4" t="n">
        <v>1380</v>
      </c>
      <c r="E130" s="4" t="n">
        <v>330</v>
      </c>
      <c r="F130" s="4" t="n">
        <v>120</v>
      </c>
      <c r="G130" s="4">
        <f>ROUND(D130*F130/100,0)</f>
        <v/>
      </c>
      <c r="H130" s="4">
        <f>ROUND(E130*F130/100,0)</f>
        <v/>
      </c>
      <c r="I130" s="2" t="inlineStr">
        <is>
          <t>碳水化合物(44g/100g)、脂肪(18g)</t>
        </is>
      </c>
      <c r="J130" s="2" t="inlineStr">
        <is>
          <t>少量蛋白质</t>
        </is>
      </c>
      <c r="K130" s="2" t="inlineStr">
        <is>
          <t>层酥饼皮含大量植物油，高热量</t>
        </is>
      </c>
      <c r="L130" s="2" t="inlineStr">
        <is>
          <t>面粉、菜籽油</t>
        </is>
      </c>
    </row>
    <row r="131">
      <c r="A131" s="2" t="inlineStr">
        <is>
          <t>葱油饼</t>
        </is>
      </c>
      <c r="B131" s="2" t="inlineStr">
        <is>
          <t>主食</t>
        </is>
      </c>
      <c r="C131" s="3" t="inlineStr">
        <is>
          <t>—</t>
        </is>
      </c>
      <c r="D131" s="4" t="n">
        <v>1464</v>
      </c>
      <c r="E131" s="4" t="n">
        <v>350</v>
      </c>
      <c r="F131" s="4" t="n">
        <v>100</v>
      </c>
      <c r="G131" s="4">
        <f>ROUND(D131*F131/100,0)</f>
        <v/>
      </c>
      <c r="H131" s="4">
        <f>ROUND(E131*F131/100,0)</f>
        <v/>
      </c>
      <c r="I131" s="2" t="inlineStr">
        <is>
          <t>碳水化合物(43g/100g)、脂肪(20g)</t>
        </is>
      </c>
      <c r="J131" s="2" t="inlineStr">
        <is>
          <t>钠较高</t>
        </is>
      </c>
      <c r="K131" s="2" t="inlineStr">
        <is>
          <t>层叠工艺用油量大</t>
        </is>
      </c>
      <c r="L131" s="2" t="inlineStr">
        <is>
          <t>面粉、香葱/小葱、菜籽油</t>
        </is>
      </c>
    </row>
    <row r="132">
      <c r="A132" s="2" t="inlineStr">
        <is>
          <t>米粉（煮熟）</t>
        </is>
      </c>
      <c r="B132" s="2" t="inlineStr">
        <is>
          <t>主食</t>
        </is>
      </c>
      <c r="C132" s="3" t="inlineStr">
        <is>
          <t>—</t>
        </is>
      </c>
      <c r="D132" s="4" t="n">
        <v>418</v>
      </c>
      <c r="E132" s="4" t="n">
        <v>100</v>
      </c>
      <c r="F132" s="4" t="n">
        <v>250</v>
      </c>
      <c r="G132" s="4">
        <f>ROUND(D132*F132/100,0)</f>
        <v/>
      </c>
      <c r="H132" s="4">
        <f>ROUND(E132*F132/100,0)</f>
        <v/>
      </c>
      <c r="I132" s="2" t="inlineStr">
        <is>
          <t>碳水化合物(22g/100g)、蛋白质(2g)</t>
        </is>
      </c>
      <c r="J132" s="2" t="inlineStr">
        <is>
          <t>少量矿物质</t>
        </is>
      </c>
      <c r="K132" s="2" t="inlineStr">
        <is>
          <t>加汤底和配料热量大增</t>
        </is>
      </c>
      <c r="L132" s="2" t="inlineStr">
        <is>
          <t>大米</t>
        </is>
      </c>
    </row>
    <row r="133">
      <c r="A133" s="2" t="inlineStr">
        <is>
          <t>河粉（煮熟）</t>
        </is>
      </c>
      <c r="B133" s="2" t="inlineStr">
        <is>
          <t>主食</t>
        </is>
      </c>
      <c r="C133" s="3" t="inlineStr">
        <is>
          <t>—</t>
        </is>
      </c>
      <c r="D133" s="4" t="n">
        <v>364</v>
      </c>
      <c r="E133" s="4" t="n">
        <v>87</v>
      </c>
      <c r="F133" s="4" t="n">
        <v>250</v>
      </c>
      <c r="G133" s="4">
        <f>ROUND(D133*F133/100,0)</f>
        <v/>
      </c>
      <c r="H133" s="4">
        <f>ROUND(E133*F133/100,0)</f>
        <v/>
      </c>
      <c r="I133" s="2" t="inlineStr">
        <is>
          <t>碳水化合物(19g/100g)、蛋白质(2g)</t>
        </is>
      </c>
      <c r="J133" s="2" t="inlineStr">
        <is>
          <t>少量矿物质</t>
        </is>
      </c>
      <c r="K133" s="2" t="inlineStr">
        <is>
          <t>广式常见主食</t>
        </is>
      </c>
      <c r="L133" s="2" t="inlineStr">
        <is>
          <t>大米</t>
        </is>
      </c>
    </row>
    <row r="134">
      <c r="A134" s="2" t="inlineStr">
        <is>
          <t>刀削面（煮熟）</t>
        </is>
      </c>
      <c r="B134" s="2" t="inlineStr">
        <is>
          <t>主食</t>
        </is>
      </c>
      <c r="C134" s="3" t="inlineStr">
        <is>
          <t>—</t>
        </is>
      </c>
      <c r="D134" s="4" t="n">
        <v>448</v>
      </c>
      <c r="E134" s="4" t="n">
        <v>107</v>
      </c>
      <c r="F134" s="4" t="n">
        <v>250</v>
      </c>
      <c r="G134" s="4">
        <f>ROUND(D134*F134/100,0)</f>
        <v/>
      </c>
      <c r="H134" s="4">
        <f>ROUND(E134*F134/100,0)</f>
        <v/>
      </c>
      <c r="I134" s="2" t="inlineStr">
        <is>
          <t>碳水化合物(22g/100g)、蛋白质(4g)</t>
        </is>
      </c>
      <c r="J134" s="2" t="inlineStr">
        <is>
          <t>B族维生素</t>
        </is>
      </c>
      <c r="K134" s="2" t="inlineStr">
        <is>
          <t>山西特色，汤底影响总热量</t>
        </is>
      </c>
      <c r="L134" s="2" t="inlineStr">
        <is>
          <t>面粉</t>
        </is>
      </c>
    </row>
    <row r="135">
      <c r="A135" s="2" t="inlineStr">
        <is>
          <t>重庆小面（带汤）</t>
        </is>
      </c>
      <c r="B135" s="2" t="inlineStr">
        <is>
          <t>主食</t>
        </is>
      </c>
      <c r="C135" s="3" t="inlineStr">
        <is>
          <t>—</t>
        </is>
      </c>
      <c r="D135" s="4" t="n">
        <v>502</v>
      </c>
      <c r="E135" s="4" t="n">
        <v>120</v>
      </c>
      <c r="F135" s="4" t="n">
        <v>400</v>
      </c>
      <c r="G135" s="4">
        <f>ROUND(D135*F135/100,0)</f>
        <v/>
      </c>
      <c r="H135" s="4">
        <f>ROUND(E135*F135/100,0)</f>
        <v/>
      </c>
      <c r="I135" s="2" t="inlineStr">
        <is>
          <t>碳水化合物(20g/100g)、蛋白质(5g)</t>
        </is>
      </c>
      <c r="J135" s="2" t="inlineStr">
        <is>
          <t>脂肪(4g)、辣椒素</t>
        </is>
      </c>
      <c r="K135" s="2" t="inlineStr">
        <is>
          <t>红油汤底热量较高</t>
        </is>
      </c>
      <c r="L135" s="2" t="inlineStr">
        <is>
          <t>面粉、辣椒油、豆瓣酱</t>
        </is>
      </c>
    </row>
    <row r="136">
      <c r="A136" s="2" t="inlineStr">
        <is>
          <t>螺蛳粉（煮熟）</t>
        </is>
      </c>
      <c r="B136" s="2" t="inlineStr">
        <is>
          <t>主食</t>
        </is>
      </c>
      <c r="C136" s="3" t="inlineStr">
        <is>
          <t>—</t>
        </is>
      </c>
      <c r="D136" s="4" t="n">
        <v>544</v>
      </c>
      <c r="E136" s="4" t="n">
        <v>130</v>
      </c>
      <c r="F136" s="4" t="n">
        <v>400</v>
      </c>
      <c r="G136" s="4">
        <f>ROUND(D136*F136/100,0)</f>
        <v/>
      </c>
      <c r="H136" s="4">
        <f>ROUND(E136*F136/100,0)</f>
        <v/>
      </c>
      <c r="I136" s="2" t="inlineStr">
        <is>
          <t>碳水化合物(22g/100g)、蛋白质(5g)</t>
        </is>
      </c>
      <c r="J136" s="2" t="inlineStr">
        <is>
          <t>脂肪(5g)、钠极高</t>
        </is>
      </c>
      <c r="K136" s="2" t="inlineStr">
        <is>
          <t>腌制配料钠含量极高</t>
        </is>
      </c>
      <c r="L136" s="2" t="inlineStr">
        <is>
          <t>大米、酸菜</t>
        </is>
      </c>
    </row>
    <row r="137">
      <c r="A137" s="2" t="inlineStr">
        <is>
          <t>过桥米线</t>
        </is>
      </c>
      <c r="B137" s="2" t="inlineStr">
        <is>
          <t>主食</t>
        </is>
      </c>
      <c r="C137" s="3" t="inlineStr">
        <is>
          <t>—</t>
        </is>
      </c>
      <c r="D137" s="4" t="n">
        <v>502</v>
      </c>
      <c r="E137" s="4" t="n">
        <v>120</v>
      </c>
      <c r="F137" s="4" t="n">
        <v>500</v>
      </c>
      <c r="G137" s="4">
        <f>ROUND(D137*F137/100,0)</f>
        <v/>
      </c>
      <c r="H137" s="4">
        <f>ROUND(E137*F137/100,0)</f>
        <v/>
      </c>
      <c r="I137" s="2" t="inlineStr">
        <is>
          <t>碳水化合物(16g/100g)、蛋白质(7g)</t>
        </is>
      </c>
      <c r="J137" s="2" t="inlineStr">
        <is>
          <t>脂肪(4g)</t>
        </is>
      </c>
      <c r="K137" s="2" t="inlineStr">
        <is>
          <t>配料丰富，营养均衡</t>
        </is>
      </c>
      <c r="L137" s="2" t="inlineStr"/>
    </row>
    <row r="138">
      <c r="A138" s="2" t="inlineStr">
        <is>
          <t>炸酱面</t>
        </is>
      </c>
      <c r="B138" s="2" t="inlineStr">
        <is>
          <t>主食</t>
        </is>
      </c>
      <c r="C138" s="3" t="inlineStr">
        <is>
          <t>—</t>
        </is>
      </c>
      <c r="D138" s="4" t="n">
        <v>712</v>
      </c>
      <c r="E138" s="4" t="n">
        <v>170</v>
      </c>
      <c r="F138" s="4" t="n">
        <v>300</v>
      </c>
      <c r="G138" s="4">
        <f>ROUND(D138*F138/100,0)</f>
        <v/>
      </c>
      <c r="H138" s="4">
        <f>ROUND(E138*F138/100,0)</f>
        <v/>
      </c>
      <c r="I138" s="2" t="inlineStr">
        <is>
          <t>碳水化合物(26g/100g)、蛋白质(8g)</t>
        </is>
      </c>
      <c r="J138" s="2" t="inlineStr">
        <is>
          <t>脂肪(7g)、钠高</t>
        </is>
      </c>
      <c r="K138" s="2" t="inlineStr">
        <is>
          <t>炸酱油脂较多</t>
        </is>
      </c>
      <c r="L138" s="2" t="inlineStr">
        <is>
          <t>面粉、猪五花肉、豆瓣酱</t>
        </is>
      </c>
    </row>
    <row r="139">
      <c r="A139" s="2" t="inlineStr">
        <is>
          <t>担担面</t>
        </is>
      </c>
      <c r="B139" s="2" t="inlineStr">
        <is>
          <t>主食</t>
        </is>
      </c>
      <c r="C139" s="3" t="inlineStr">
        <is>
          <t>—</t>
        </is>
      </c>
      <c r="D139" s="4" t="n">
        <v>795</v>
      </c>
      <c r="E139" s="4" t="n">
        <v>190</v>
      </c>
      <c r="F139" s="4" t="n">
        <v>300</v>
      </c>
      <c r="G139" s="4">
        <f>ROUND(D139*F139/100,0)</f>
        <v/>
      </c>
      <c r="H139" s="4">
        <f>ROUND(E139*F139/100,0)</f>
        <v/>
      </c>
      <c r="I139" s="2" t="inlineStr">
        <is>
          <t>碳水化合物(26g/100g)、蛋白质(7g)</t>
        </is>
      </c>
      <c r="J139" s="2" t="inlineStr">
        <is>
          <t>脂肪(9g)、辣椒素</t>
        </is>
      </c>
      <c r="K139" s="2" t="inlineStr">
        <is>
          <t>芝麻酱热量贡献大</t>
        </is>
      </c>
      <c r="L139" s="2" t="inlineStr">
        <is>
          <t>面粉、芝麻酱、辣椒油</t>
        </is>
      </c>
    </row>
    <row r="140">
      <c r="A140" s="2" t="inlineStr">
        <is>
          <t>糯米饭（咸味）</t>
        </is>
      </c>
      <c r="B140" s="2" t="inlineStr">
        <is>
          <t>主食</t>
        </is>
      </c>
      <c r="C140" s="3" t="inlineStr">
        <is>
          <t>—</t>
        </is>
      </c>
      <c r="D140" s="4" t="n">
        <v>712</v>
      </c>
      <c r="E140" s="4" t="n">
        <v>170</v>
      </c>
      <c r="F140" s="4" t="n">
        <v>200</v>
      </c>
      <c r="G140" s="4">
        <f>ROUND(D140*F140/100,0)</f>
        <v/>
      </c>
      <c r="H140" s="4">
        <f>ROUND(E140*F140/100,0)</f>
        <v/>
      </c>
      <c r="I140" s="2" t="inlineStr">
        <is>
          <t>碳水化合物(36g/100g)、脂肪(5g)</t>
        </is>
      </c>
      <c r="J140" s="2" t="inlineStr">
        <is>
          <t>蛋白质(4g)</t>
        </is>
      </c>
      <c r="K140" s="2" t="inlineStr">
        <is>
          <t>糯米GI高，易升血糖</t>
        </is>
      </c>
      <c r="L140" s="2" t="inlineStr">
        <is>
          <t>糯米、猪五花肉</t>
        </is>
      </c>
    </row>
    <row r="141">
      <c r="A141" s="2" t="inlineStr">
        <is>
          <t>肠粉（虾仁）</t>
        </is>
      </c>
      <c r="B141" s="2" t="inlineStr">
        <is>
          <t>主食</t>
        </is>
      </c>
      <c r="C141" s="3" t="inlineStr">
        <is>
          <t>—</t>
        </is>
      </c>
      <c r="D141" s="4" t="n">
        <v>544</v>
      </c>
      <c r="E141" s="4" t="n">
        <v>130</v>
      </c>
      <c r="F141" s="4" t="n">
        <v>200</v>
      </c>
      <c r="G141" s="4">
        <f>ROUND(D141*F141/100,0)</f>
        <v/>
      </c>
      <c r="H141" s="4">
        <f>ROUND(E141*F141/100,0)</f>
        <v/>
      </c>
      <c r="I141" s="2" t="inlineStr">
        <is>
          <t>蛋白质(7g/100g)、碳水化合物(18g)</t>
        </is>
      </c>
      <c r="J141" s="2" t="inlineStr">
        <is>
          <t>脂肪(4g)</t>
        </is>
      </c>
      <c r="K141" s="2" t="inlineStr">
        <is>
          <t>广式早茶经典</t>
        </is>
      </c>
      <c r="L141" s="2" t="inlineStr"/>
    </row>
    <row r="142">
      <c r="A142" s="2" t="inlineStr">
        <is>
          <t>发糕</t>
        </is>
      </c>
      <c r="B142" s="2" t="inlineStr">
        <is>
          <t>主食</t>
        </is>
      </c>
      <c r="C142" s="3" t="inlineStr">
        <is>
          <t>—</t>
        </is>
      </c>
      <c r="D142" s="4" t="n">
        <v>838</v>
      </c>
      <c r="E142" s="4" t="n">
        <v>200</v>
      </c>
      <c r="F142" s="4" t="n">
        <v>100</v>
      </c>
      <c r="G142" s="4">
        <f>ROUND(D142*F142/100,0)</f>
        <v/>
      </c>
      <c r="H142" s="4">
        <f>ROUND(E142*F142/100,0)</f>
        <v/>
      </c>
      <c r="I142" s="2" t="inlineStr">
        <is>
          <t>碳水化合物(45g/100g)、蛋白质(5g)</t>
        </is>
      </c>
      <c r="J142" s="2" t="inlineStr">
        <is>
          <t>少量B族维生素</t>
        </is>
      </c>
      <c r="K142" s="2" t="inlineStr">
        <is>
          <t>发酵米制品</t>
        </is>
      </c>
      <c r="L142" s="2" t="inlineStr"/>
    </row>
    <row r="143">
      <c r="A143" s="2" t="inlineStr">
        <is>
          <t>窝窝头</t>
        </is>
      </c>
      <c r="B143" s="2" t="inlineStr">
        <is>
          <t>主食</t>
        </is>
      </c>
      <c r="C143" s="3" t="inlineStr">
        <is>
          <t>—</t>
        </is>
      </c>
      <c r="D143" s="4" t="n">
        <v>770</v>
      </c>
      <c r="E143" s="4" t="n">
        <v>184</v>
      </c>
      <c r="F143" s="4" t="n">
        <v>100</v>
      </c>
      <c r="G143" s="4">
        <f>ROUND(D143*F143/100,0)</f>
        <v/>
      </c>
      <c r="H143" s="4">
        <f>ROUND(E143*F143/100,0)</f>
        <v/>
      </c>
      <c r="I143" s="2" t="inlineStr">
        <is>
          <t>碳水化合物(40g/100g)、膳食纤维(2.5g)</t>
        </is>
      </c>
      <c r="J143" s="2" t="inlineStr">
        <is>
          <t>B族维生素、铁</t>
        </is>
      </c>
      <c r="K143" s="2" t="inlineStr">
        <is>
          <t>粗粮制品，GI低于白馒头</t>
        </is>
      </c>
      <c r="L143" s="2" t="inlineStr"/>
    </row>
    <row r="144">
      <c r="A144" s="2" t="inlineStr">
        <is>
          <t>薏米饭</t>
        </is>
      </c>
      <c r="B144" s="2" t="inlineStr">
        <is>
          <t>主食</t>
        </is>
      </c>
      <c r="C144" s="3" t="inlineStr">
        <is>
          <t>—</t>
        </is>
      </c>
      <c r="D144" s="4" t="n">
        <v>460</v>
      </c>
      <c r="E144" s="4" t="n">
        <v>110</v>
      </c>
      <c r="F144" s="4" t="n">
        <v>200</v>
      </c>
      <c r="G144" s="4">
        <f>ROUND(D144*F144/100,0)</f>
        <v/>
      </c>
      <c r="H144" s="4">
        <f>ROUND(E144*F144/100,0)</f>
        <v/>
      </c>
      <c r="I144" s="2" t="inlineStr">
        <is>
          <t>碳水化合物(22g/100g)、蛋白质(3g)</t>
        </is>
      </c>
      <c r="J144" s="2" t="inlineStr">
        <is>
          <t>膳食纤维(0.5g)、B族维生素</t>
        </is>
      </c>
      <c r="K144" s="2" t="inlineStr">
        <is>
          <t>祛湿利水，营养较丰富</t>
        </is>
      </c>
      <c r="L144" s="2" t="inlineStr"/>
    </row>
    <row r="145">
      <c r="A145" s="2" t="inlineStr">
        <is>
          <t>杂粮饭</t>
        </is>
      </c>
      <c r="B145" s="2" t="inlineStr">
        <is>
          <t>主食</t>
        </is>
      </c>
      <c r="C145" s="3" t="inlineStr">
        <is>
          <t>—</t>
        </is>
      </c>
      <c r="D145" s="4" t="n">
        <v>448</v>
      </c>
      <c r="E145" s="4" t="n">
        <v>107</v>
      </c>
      <c r="F145" s="4" t="n">
        <v>250</v>
      </c>
      <c r="G145" s="4">
        <f>ROUND(D145*F145/100,0)</f>
        <v/>
      </c>
      <c r="H145" s="4">
        <f>ROUND(E145*F145/100,0)</f>
        <v/>
      </c>
      <c r="I145" s="2" t="inlineStr">
        <is>
          <t>碳水化合物(21g/100g)、膳食纤维(1.5g)</t>
        </is>
      </c>
      <c r="J145" s="2" t="inlineStr">
        <is>
          <t>B族维生素、多种矿物质</t>
        </is>
      </c>
      <c r="K145" s="2" t="inlineStr">
        <is>
          <t>血糖控制优于纯白米饭</t>
        </is>
      </c>
      <c r="L145" s="2" t="inlineStr"/>
    </row>
    <row r="146">
      <c r="A146" s="2" t="inlineStr">
        <is>
          <t>皮蛋</t>
        </is>
      </c>
      <c r="B146" s="2" t="inlineStr">
        <is>
          <t>主食</t>
        </is>
      </c>
      <c r="C146" s="3" t="inlineStr">
        <is>
          <t>—</t>
        </is>
      </c>
      <c r="D146" s="4" t="n">
        <v>669</v>
      </c>
      <c r="E146" s="4" t="n">
        <v>160</v>
      </c>
      <c r="F146" s="4" t="n">
        <v>60</v>
      </c>
      <c r="G146" s="4">
        <f>ROUND(D146*F146/100,0)</f>
        <v/>
      </c>
      <c r="H146" s="4">
        <f>ROUND(E146*F146/100,0)</f>
        <v/>
      </c>
      <c r="I146" s="2" t="inlineStr">
        <is>
          <t>蛋白质(14g/100g)、脂肪(11g)</t>
        </is>
      </c>
      <c r="J146" s="2" t="inlineStr">
        <is>
          <t>铁、锌、铅（微量）</t>
        </is>
      </c>
      <c r="K146" s="2" t="inlineStr">
        <is>
          <t>含少量铅，不宜过量</t>
        </is>
      </c>
      <c r="L146" s="2" t="inlineStr">
        <is>
          <t>鸡蛋（全蛋）</t>
        </is>
      </c>
    </row>
    <row r="147">
      <c r="A147" s="2" t="inlineStr">
        <is>
          <t>咸鸭蛋</t>
        </is>
      </c>
      <c r="B147" s="2" t="inlineStr">
        <is>
          <t>主食</t>
        </is>
      </c>
      <c r="C147" s="3" t="inlineStr">
        <is>
          <t>—</t>
        </is>
      </c>
      <c r="D147" s="4" t="n">
        <v>753</v>
      </c>
      <c r="E147" s="4" t="n">
        <v>180</v>
      </c>
      <c r="F147" s="4" t="n">
        <v>60</v>
      </c>
      <c r="G147" s="4">
        <f>ROUND(D147*F147/100,0)</f>
        <v/>
      </c>
      <c r="H147" s="4">
        <f>ROUND(E147*F147/100,0)</f>
        <v/>
      </c>
      <c r="I147" s="2" t="inlineStr">
        <is>
          <t>蛋白质(13g/100g)、脂肪(13g)</t>
        </is>
      </c>
      <c r="J147" s="2" t="inlineStr">
        <is>
          <t>钙、钠极高</t>
        </is>
      </c>
      <c r="K147" s="2" t="inlineStr">
        <is>
          <t>钠含量很高</t>
        </is>
      </c>
      <c r="L147" s="2" t="inlineStr">
        <is>
          <t>鸭蛋（全蛋）、食盐</t>
        </is>
      </c>
    </row>
    <row r="148">
      <c r="A148" s="5" t="inlineStr">
        <is>
          <t>扣肉（梅菜扣肉）</t>
        </is>
      </c>
      <c r="B148" s="5" t="inlineStr">
        <is>
          <t>菜肴</t>
        </is>
      </c>
      <c r="C148" s="8" t="inlineStr">
        <is>
          <t>川菜</t>
        </is>
      </c>
      <c r="D148" s="7" t="n">
        <v>1381</v>
      </c>
      <c r="E148" s="7" t="n">
        <v>330</v>
      </c>
      <c r="F148" s="7" t="n">
        <v>150</v>
      </c>
      <c r="G148" s="7">
        <f>ROUND(D148*F148/100,0)</f>
        <v/>
      </c>
      <c r="H148" s="7">
        <f>ROUND(E148*F148/100,0)</f>
        <v/>
      </c>
      <c r="I148" s="5" t="inlineStr">
        <is>
          <t>脂肪(28g/100g)、蛋白质(14g)</t>
        </is>
      </c>
      <c r="J148" s="5" t="inlineStr">
        <is>
          <t>钠高、胶原蛋白</t>
        </is>
      </c>
      <c r="K148" s="5" t="inlineStr">
        <is>
          <t>重油猪肉·炖｜热量极高</t>
        </is>
      </c>
      <c r="L148" s="5" t="inlineStr">
        <is>
          <t>猪五花肉、梅菜</t>
        </is>
      </c>
    </row>
    <row r="149">
      <c r="A149" s="5" t="inlineStr">
        <is>
          <t>粉蒸肉</t>
        </is>
      </c>
      <c r="B149" s="5" t="inlineStr">
        <is>
          <t>菜肴</t>
        </is>
      </c>
      <c r="C149" s="32" t="inlineStr">
        <is>
          <t>徽菜</t>
        </is>
      </c>
      <c r="D149" s="7" t="n">
        <v>1130</v>
      </c>
      <c r="E149" s="7" t="n">
        <v>270</v>
      </c>
      <c r="F149" s="7" t="n">
        <v>150</v>
      </c>
      <c r="G149" s="7">
        <f>ROUND(D149*F149/100,0)</f>
        <v/>
      </c>
      <c r="H149" s="7">
        <f>ROUND(E149*F149/100,0)</f>
        <v/>
      </c>
      <c r="I149" s="5" t="inlineStr">
        <is>
          <t>脂肪(20g/100g)、蛋白质(13g)、碳水化合物(14g)</t>
        </is>
      </c>
      <c r="J149" s="5" t="inlineStr">
        <is>
          <t>B族维生素</t>
        </is>
      </c>
      <c r="K149" s="5" t="inlineStr">
        <is>
          <t>中油猪肉·蒸｜米粉裹衣增加碳水</t>
        </is>
      </c>
      <c r="L149" s="5" t="inlineStr">
        <is>
          <t>猪五花肉、大米</t>
        </is>
      </c>
    </row>
    <row r="150">
      <c r="A150" s="5" t="inlineStr">
        <is>
          <t>蒜泥白肉</t>
        </is>
      </c>
      <c r="B150" s="5" t="inlineStr">
        <is>
          <t>菜肴</t>
        </is>
      </c>
      <c r="C150" s="6" t="inlineStr">
        <is>
          <t>家常菜</t>
        </is>
      </c>
      <c r="D150" s="7" t="n">
        <v>920</v>
      </c>
      <c r="E150" s="7" t="n">
        <v>220</v>
      </c>
      <c r="F150" s="7" t="n">
        <v>150</v>
      </c>
      <c r="G150" s="7">
        <f>ROUND(D150*F150/100,0)</f>
        <v/>
      </c>
      <c r="H150" s="7">
        <f>ROUND(E150*F150/100,0)</f>
        <v/>
      </c>
      <c r="I150" s="5" t="inlineStr">
        <is>
          <t>脂肪(18g/100g)、蛋白质(14g)</t>
        </is>
      </c>
      <c r="J150" s="5" t="inlineStr">
        <is>
          <t>大蒜素、钠较高</t>
        </is>
      </c>
      <c r="K150" s="5" t="inlineStr">
        <is>
          <t>中油猪肉·煮凉拌｜热量来自五花肉本身</t>
        </is>
      </c>
      <c r="L150" s="5" t="inlineStr">
        <is>
          <t>猪五花肉、大蒜、辣椒油</t>
        </is>
      </c>
    </row>
    <row r="151">
      <c r="A151" s="5" t="inlineStr">
        <is>
          <t>猪肉炖粉条</t>
        </is>
      </c>
      <c r="B151" s="5" t="inlineStr">
        <is>
          <t>菜肴</t>
        </is>
      </c>
      <c r="C151" s="12" t="inlineStr">
        <is>
          <t>东北菜</t>
        </is>
      </c>
      <c r="D151" s="7" t="n">
        <v>795</v>
      </c>
      <c r="E151" s="7" t="n">
        <v>190</v>
      </c>
      <c r="F151" s="7" t="n">
        <v>200</v>
      </c>
      <c r="G151" s="7">
        <f>ROUND(D151*F151/100,0)</f>
        <v/>
      </c>
      <c r="H151" s="7">
        <f>ROUND(E151*F151/100,0)</f>
        <v/>
      </c>
      <c r="I151" s="5" t="inlineStr">
        <is>
          <t>脂肪(10g/100g)、碳水化合物(12g)、蛋白质(10g)</t>
        </is>
      </c>
      <c r="J151" s="5" t="inlineStr">
        <is>
          <t>钠较高</t>
        </is>
      </c>
      <c r="K151" s="5" t="inlineStr">
        <is>
          <t>中油猪肉·炖｜粉条高碳水</t>
        </is>
      </c>
      <c r="L151" s="5" t="inlineStr">
        <is>
          <t>猪五花肉、粉条</t>
        </is>
      </c>
    </row>
    <row r="152">
      <c r="A152" s="5" t="inlineStr">
        <is>
          <t>清炖猪蹄</t>
        </is>
      </c>
      <c r="B152" s="5" t="inlineStr">
        <is>
          <t>菜肴</t>
        </is>
      </c>
      <c r="C152" s="9" t="inlineStr">
        <is>
          <t>苏菜</t>
        </is>
      </c>
      <c r="D152" s="7" t="n">
        <v>1046</v>
      </c>
      <c r="E152" s="7" t="n">
        <v>250</v>
      </c>
      <c r="F152" s="7" t="n">
        <v>200</v>
      </c>
      <c r="G152" s="7">
        <f>ROUND(D152*F152/100,0)</f>
        <v/>
      </c>
      <c r="H152" s="7">
        <f>ROUND(E152*F152/100,0)</f>
        <v/>
      </c>
      <c r="I152" s="5" t="inlineStr">
        <is>
          <t>脂肪(20g/100g)、蛋白质(16g)、胶原蛋白</t>
        </is>
      </c>
      <c r="J152" s="5" t="inlineStr">
        <is>
          <t>钙、磷</t>
        </is>
      </c>
      <c r="K152" s="5" t="inlineStr">
        <is>
          <t>中油猪肉·炖｜胶原蛋白丰富</t>
        </is>
      </c>
      <c r="L152" s="5" t="inlineStr">
        <is>
          <t>猪大排</t>
        </is>
      </c>
    </row>
    <row r="153">
      <c r="A153" s="5" t="inlineStr">
        <is>
          <t>水煮猪肉片</t>
        </is>
      </c>
      <c r="B153" s="5" t="inlineStr">
        <is>
          <t>菜肴</t>
        </is>
      </c>
      <c r="C153" s="8" t="inlineStr">
        <is>
          <t>川菜</t>
        </is>
      </c>
      <c r="D153" s="7" t="n">
        <v>628</v>
      </c>
      <c r="E153" s="7" t="n">
        <v>150</v>
      </c>
      <c r="F153" s="7" t="n">
        <v>200</v>
      </c>
      <c r="G153" s="7">
        <f>ROUND(D153*F153/100,0)</f>
        <v/>
      </c>
      <c r="H153" s="7">
        <f>ROUND(E153*F153/100,0)</f>
        <v/>
      </c>
      <c r="I153" s="5" t="inlineStr">
        <is>
          <t>蛋白质(15g/100g)、脂肪(9g)</t>
        </is>
      </c>
      <c r="J153" s="5" t="inlineStr">
        <is>
          <t>辣椒素、花椒素</t>
        </is>
      </c>
      <c r="K153" s="5" t="inlineStr">
        <is>
          <t>中油猪肉·煮｜汤底油量大</t>
        </is>
      </c>
      <c r="L153" s="5" t="inlineStr">
        <is>
          <t>猪腿肉（瘦）、豆瓣酱、辣椒油</t>
        </is>
      </c>
    </row>
    <row r="154">
      <c r="A154" s="5" t="inlineStr">
        <is>
          <t>溜肉段</t>
        </is>
      </c>
      <c r="B154" s="5" t="inlineStr">
        <is>
          <t>菜肴</t>
        </is>
      </c>
      <c r="C154" s="8" t="inlineStr">
        <is>
          <t>川菜</t>
        </is>
      </c>
      <c r="D154" s="7" t="n">
        <v>1130</v>
      </c>
      <c r="E154" s="7" t="n">
        <v>270</v>
      </c>
      <c r="F154" s="7" t="n">
        <v>200</v>
      </c>
      <c r="G154" s="7">
        <f>ROUND(D154*F154/100,0)</f>
        <v/>
      </c>
      <c r="H154" s="7">
        <f>ROUND(E154*F154/100,0)</f>
        <v/>
      </c>
      <c r="I154" s="5" t="inlineStr">
        <is>
          <t>脂肪(16g/100g)、碳水化合物(18g)、蛋白质(14g)</t>
        </is>
      </c>
      <c r="J154" s="5" t="inlineStr">
        <is>
          <t>钠高</t>
        </is>
      </c>
      <c r="K154" s="5" t="inlineStr">
        <is>
          <t>重油猪肉·炸溜｜外皮淀粉炸制</t>
        </is>
      </c>
      <c r="L154" s="5" t="inlineStr">
        <is>
          <t>猪腿肉（瘦）、菜籽油</t>
        </is>
      </c>
    </row>
    <row r="155">
      <c r="A155" s="5" t="inlineStr">
        <is>
          <t>京酱肉丝</t>
        </is>
      </c>
      <c r="B155" s="5" t="inlineStr">
        <is>
          <t>菜肴</t>
        </is>
      </c>
      <c r="C155" s="8" t="inlineStr">
        <is>
          <t>川菜</t>
        </is>
      </c>
      <c r="D155" s="7" t="n">
        <v>836</v>
      </c>
      <c r="E155" s="7" t="n">
        <v>200</v>
      </c>
      <c r="F155" s="7" t="n">
        <v>200</v>
      </c>
      <c r="G155" s="7">
        <f>ROUND(D155*F155/100,0)</f>
        <v/>
      </c>
      <c r="H155" s="7">
        <f>ROUND(E155*F155/100,0)</f>
        <v/>
      </c>
      <c r="I155" s="5" t="inlineStr">
        <is>
          <t>蛋白质(14g/100g)、脂肪(12g)</t>
        </is>
      </c>
      <c r="J155" s="5" t="inlineStr">
        <is>
          <t>糖分较高、钠高</t>
        </is>
      </c>
      <c r="K155" s="5" t="inlineStr">
        <is>
          <t>中油猪肉·炒｜甜面酱热量高</t>
        </is>
      </c>
      <c r="L155" s="5" t="inlineStr">
        <is>
          <t>猪里脊、甜面酱</t>
        </is>
      </c>
    </row>
    <row r="156">
      <c r="A156" s="5" t="inlineStr">
        <is>
          <t>猪肉白菜炖豆腐</t>
        </is>
      </c>
      <c r="B156" s="5" t="inlineStr">
        <is>
          <t>菜肴</t>
        </is>
      </c>
      <c r="C156" s="12" t="inlineStr">
        <is>
          <t>东北菜</t>
        </is>
      </c>
      <c r="D156" s="7" t="n">
        <v>418</v>
      </c>
      <c r="E156" s="7" t="n">
        <v>100</v>
      </c>
      <c r="F156" s="7" t="n">
        <v>300</v>
      </c>
      <c r="G156" s="7">
        <f>ROUND(D156*F156/100,0)</f>
        <v/>
      </c>
      <c r="H156" s="7">
        <f>ROUND(E156*F156/100,0)</f>
        <v/>
      </c>
      <c r="I156" s="5" t="inlineStr">
        <is>
          <t>蛋白质(9g/100g)、脂肪(5g)</t>
        </is>
      </c>
      <c r="J156" s="5" t="inlineStr">
        <is>
          <t>钙、维生素C</t>
        </is>
      </c>
      <c r="K156" s="5" t="inlineStr">
        <is>
          <t>轻油猪肉·炖｜营养均衡低热量</t>
        </is>
      </c>
      <c r="L156" s="5" t="inlineStr"/>
    </row>
    <row r="157">
      <c r="A157" s="5" t="inlineStr">
        <is>
          <t>腊肉炒蒜薹</t>
        </is>
      </c>
      <c r="B157" s="5" t="inlineStr">
        <is>
          <t>菜肴</t>
        </is>
      </c>
      <c r="C157" s="14" t="inlineStr">
        <is>
          <t>湘菜</t>
        </is>
      </c>
      <c r="D157" s="7" t="n">
        <v>1255</v>
      </c>
      <c r="E157" s="7" t="n">
        <v>300</v>
      </c>
      <c r="F157" s="7" t="n">
        <v>150</v>
      </c>
      <c r="G157" s="7">
        <f>ROUND(D157*F157/100,0)</f>
        <v/>
      </c>
      <c r="H157" s="7">
        <f>ROUND(E157*F157/100,0)</f>
        <v/>
      </c>
      <c r="I157" s="5" t="inlineStr">
        <is>
          <t>脂肪(24g/100g)、蛋白质(13g)</t>
        </is>
      </c>
      <c r="J157" s="5" t="inlineStr">
        <is>
          <t>钠极高(腌制)</t>
        </is>
      </c>
      <c r="K157" s="5" t="inlineStr">
        <is>
          <t>重油猪肉·炒｜腊肉本身脂肪高</t>
        </is>
      </c>
      <c r="L157" s="5" t="inlineStr">
        <is>
          <t>猪五花肉、蒜薹</t>
        </is>
      </c>
    </row>
    <row r="158">
      <c r="A158" s="5" t="inlineStr">
        <is>
          <t>红烧牛肉</t>
        </is>
      </c>
      <c r="B158" s="5" t="inlineStr">
        <is>
          <t>菜肴</t>
        </is>
      </c>
      <c r="C158" s="6" t="inlineStr">
        <is>
          <t>家常菜</t>
        </is>
      </c>
      <c r="D158" s="7" t="n">
        <v>753</v>
      </c>
      <c r="E158" s="7" t="n">
        <v>180</v>
      </c>
      <c r="F158" s="7" t="n">
        <v>200</v>
      </c>
      <c r="G158" s="7">
        <f>ROUND(D158*F158/100,0)</f>
        <v/>
      </c>
      <c r="H158" s="7">
        <f>ROUND(E158*F158/100,0)</f>
        <v/>
      </c>
      <c r="I158" s="5" t="inlineStr">
        <is>
          <t>蛋白质(17g/100g)、脂肪(8g)</t>
        </is>
      </c>
      <c r="J158" s="5" t="inlineStr">
        <is>
          <t>铁(2.8mg)、锌</t>
        </is>
      </c>
      <c r="K158" s="5" t="inlineStr">
        <is>
          <t>中油牛肉·炖｜常见外卖浇头</t>
        </is>
      </c>
      <c r="L158" s="5" t="inlineStr">
        <is>
          <t>牛腩、生抽（酱油）</t>
        </is>
      </c>
    </row>
    <row r="159">
      <c r="A159" s="5" t="inlineStr">
        <is>
          <t>土豆炖牛肉</t>
        </is>
      </c>
      <c r="B159" s="5" t="inlineStr">
        <is>
          <t>菜肴</t>
        </is>
      </c>
      <c r="C159" s="6" t="inlineStr">
        <is>
          <t>家常菜</t>
        </is>
      </c>
      <c r="D159" s="7" t="n">
        <v>628</v>
      </c>
      <c r="E159" s="7" t="n">
        <v>150</v>
      </c>
      <c r="F159" s="7" t="n">
        <v>300</v>
      </c>
      <c r="G159" s="7">
        <f>ROUND(D159*F159/100,0)</f>
        <v/>
      </c>
      <c r="H159" s="7">
        <f>ROUND(E159*F159/100,0)</f>
        <v/>
      </c>
      <c r="I159" s="5" t="inlineStr">
        <is>
          <t>蛋白质(12g/100g)、碳水化合物(10g)、脂肪(6g)</t>
        </is>
      </c>
      <c r="J159" s="5" t="inlineStr">
        <is>
          <t>铁、钾、维生素C</t>
        </is>
      </c>
      <c r="K159" s="5" t="inlineStr">
        <is>
          <t>轻油牛肉·炖｜营养均衡</t>
        </is>
      </c>
      <c r="L159" s="5" t="inlineStr">
        <is>
          <t>牛腩、土豆、胡萝卜</t>
        </is>
      </c>
    </row>
    <row r="160">
      <c r="A160" s="5" t="inlineStr">
        <is>
          <t>葱爆牛肉</t>
        </is>
      </c>
      <c r="B160" s="5" t="inlineStr">
        <is>
          <t>菜肴</t>
        </is>
      </c>
      <c r="C160" s="33" t="inlineStr">
        <is>
          <t>西北菜</t>
        </is>
      </c>
      <c r="D160" s="7" t="n">
        <v>795</v>
      </c>
      <c r="E160" s="7" t="n">
        <v>190</v>
      </c>
      <c r="F160" s="7" t="n">
        <v>200</v>
      </c>
      <c r="G160" s="7">
        <f>ROUND(D160*F160/100,0)</f>
        <v/>
      </c>
      <c r="H160" s="7">
        <f>ROUND(E160*F160/100,0)</f>
        <v/>
      </c>
      <c r="I160" s="5" t="inlineStr">
        <is>
          <t>蛋白质(18g/100g)、脂肪(10g)</t>
        </is>
      </c>
      <c r="J160" s="5" t="inlineStr">
        <is>
          <t>铁、锌、大蒜素</t>
        </is>
      </c>
      <c r="K160" s="5" t="inlineStr">
        <is>
          <t>中油牛肉·爆炒｜大火快炒</t>
        </is>
      </c>
      <c r="L160" s="5" t="inlineStr">
        <is>
          <t>牛里脊、洋葱、菜籽油</t>
        </is>
      </c>
    </row>
    <row r="161">
      <c r="A161" s="5" t="inlineStr">
        <is>
          <t>牛肉火锅涮片</t>
        </is>
      </c>
      <c r="B161" s="5" t="inlineStr">
        <is>
          <t>菜肴</t>
        </is>
      </c>
      <c r="C161" s="6" t="inlineStr">
        <is>
          <t>家常菜</t>
        </is>
      </c>
      <c r="D161" s="7" t="n">
        <v>628</v>
      </c>
      <c r="E161" s="7" t="n">
        <v>150</v>
      </c>
      <c r="F161" s="7" t="n">
        <v>150</v>
      </c>
      <c r="G161" s="7">
        <f>ROUND(D161*F161/100,0)</f>
        <v/>
      </c>
      <c r="H161" s="7">
        <f>ROUND(E161*F161/100,0)</f>
        <v/>
      </c>
      <c r="I161" s="5" t="inlineStr">
        <is>
          <t>蛋白质(18g/100g)、脂肪(7g)</t>
        </is>
      </c>
      <c r="J161" s="5" t="inlineStr">
        <is>
          <t>铁、锌、B12</t>
        </is>
      </c>
      <c r="K161" s="5" t="inlineStr">
        <is>
          <t>轻油牛肉·涮｜蘸料热量另计</t>
        </is>
      </c>
      <c r="L161" s="5" t="inlineStr">
        <is>
          <t>牛里脊</t>
        </is>
      </c>
    </row>
    <row r="162">
      <c r="A162" s="5" t="inlineStr">
        <is>
          <t>咖喱牛肉</t>
        </is>
      </c>
      <c r="B162" s="5" t="inlineStr">
        <is>
          <t>菜肴</t>
        </is>
      </c>
      <c r="C162" s="34" t="inlineStr">
        <is>
          <t>融合/其他</t>
        </is>
      </c>
      <c r="D162" s="7" t="n">
        <v>836</v>
      </c>
      <c r="E162" s="7" t="n">
        <v>200</v>
      </c>
      <c r="F162" s="7" t="n">
        <v>200</v>
      </c>
      <c r="G162" s="7">
        <f>ROUND(D162*F162/100,0)</f>
        <v/>
      </c>
      <c r="H162" s="7">
        <f>ROUND(E162*F162/100,0)</f>
        <v/>
      </c>
      <c r="I162" s="5" t="inlineStr">
        <is>
          <t>蛋白质(14g/100g)、脂肪(12g)</t>
        </is>
      </c>
      <c r="J162" s="5" t="inlineStr">
        <is>
          <t>姜黄素、铁</t>
        </is>
      </c>
      <c r="K162" s="5" t="inlineStr">
        <is>
          <t>中油牛肉·炖｜配米饭热量叠加</t>
        </is>
      </c>
      <c r="L162" s="5" t="inlineStr">
        <is>
          <t>牛腩、土豆、胡萝卜</t>
        </is>
      </c>
    </row>
    <row r="163">
      <c r="A163" s="5" t="inlineStr">
        <is>
          <t>黑椒牛柳</t>
        </is>
      </c>
      <c r="B163" s="5" t="inlineStr">
        <is>
          <t>菜肴</t>
        </is>
      </c>
      <c r="C163" s="34" t="inlineStr">
        <is>
          <t>融合/其他</t>
        </is>
      </c>
      <c r="D163" s="7" t="n">
        <v>795</v>
      </c>
      <c r="E163" s="7" t="n">
        <v>190</v>
      </c>
      <c r="F163" s="7" t="n">
        <v>200</v>
      </c>
      <c r="G163" s="7">
        <f>ROUND(D163*F163/100,0)</f>
        <v/>
      </c>
      <c r="H163" s="7">
        <f>ROUND(E163*F163/100,0)</f>
        <v/>
      </c>
      <c r="I163" s="5" t="inlineStr">
        <is>
          <t>蛋白质(18g/100g)、脂肪(10g)</t>
        </is>
      </c>
      <c r="J163" s="5" t="inlineStr">
        <is>
          <t>铁、锌、黑椒素</t>
        </is>
      </c>
      <c r="K163" s="5" t="inlineStr">
        <is>
          <t>中油牛肉·炒｜西式风格</t>
        </is>
      </c>
      <c r="L163" s="5" t="inlineStr">
        <is>
          <t>牛里脊、洋葱</t>
        </is>
      </c>
    </row>
    <row r="164">
      <c r="A164" s="5" t="inlineStr">
        <is>
          <t>手抓羊肉</t>
        </is>
      </c>
      <c r="B164" s="5" t="inlineStr">
        <is>
          <t>菜肴</t>
        </is>
      </c>
      <c r="C164" s="33" t="inlineStr">
        <is>
          <t>西北菜</t>
        </is>
      </c>
      <c r="D164" s="7" t="n">
        <v>1046</v>
      </c>
      <c r="E164" s="7" t="n">
        <v>250</v>
      </c>
      <c r="F164" s="7" t="n">
        <v>200</v>
      </c>
      <c r="G164" s="7">
        <f>ROUND(D164*F164/100,0)</f>
        <v/>
      </c>
      <c r="H164" s="7">
        <f>ROUND(E164*F164/100,0)</f>
        <v/>
      </c>
      <c r="I164" s="5" t="inlineStr">
        <is>
          <t>脂肪(20g/100g)、蛋白质(16g)</t>
        </is>
      </c>
      <c r="J164" s="5" t="inlineStr">
        <is>
          <t>铁、锌、B12</t>
        </is>
      </c>
      <c r="K164" s="5" t="inlineStr">
        <is>
          <t>中油羊肉·煮｜新疆风味</t>
        </is>
      </c>
      <c r="L164" s="5" t="inlineStr">
        <is>
          <t>羊腿肉</t>
        </is>
      </c>
    </row>
    <row r="165">
      <c r="A165" s="5" t="inlineStr">
        <is>
          <t>葱爆羊肉</t>
        </is>
      </c>
      <c r="B165" s="5" t="inlineStr">
        <is>
          <t>菜肴</t>
        </is>
      </c>
      <c r="C165" s="13" t="inlineStr">
        <is>
          <t>鲁菜</t>
        </is>
      </c>
      <c r="D165" s="7" t="n">
        <v>920</v>
      </c>
      <c r="E165" s="7" t="n">
        <v>220</v>
      </c>
      <c r="F165" s="7" t="n">
        <v>200</v>
      </c>
      <c r="G165" s="7">
        <f>ROUND(D165*F165/100,0)</f>
        <v/>
      </c>
      <c r="H165" s="7">
        <f>ROUND(E165*F165/100,0)</f>
        <v/>
      </c>
      <c r="I165" s="5" t="inlineStr">
        <is>
          <t>蛋白质(15g/100g)、脂肪(16g)</t>
        </is>
      </c>
      <c r="J165" s="5" t="inlineStr">
        <is>
          <t>铁、锌</t>
        </is>
      </c>
      <c r="K165" s="5" t="inlineStr">
        <is>
          <t>中油羊肉·爆炒</t>
        </is>
      </c>
      <c r="L165" s="5" t="inlineStr">
        <is>
          <t>羊腿肉、洋葱、菜籽油</t>
        </is>
      </c>
    </row>
    <row r="166">
      <c r="A166" s="5" t="inlineStr">
        <is>
          <t>羊肉泡馍</t>
        </is>
      </c>
      <c r="B166" s="5" t="inlineStr">
        <is>
          <t>菜肴</t>
        </is>
      </c>
      <c r="C166" s="33" t="inlineStr">
        <is>
          <t>西北菜</t>
        </is>
      </c>
      <c r="D166" s="7" t="n">
        <v>712</v>
      </c>
      <c r="E166" s="7" t="n">
        <v>170</v>
      </c>
      <c r="F166" s="7" t="n">
        <v>400</v>
      </c>
      <c r="G166" s="7">
        <f>ROUND(D166*F166/100,0)</f>
        <v/>
      </c>
      <c r="H166" s="7">
        <f>ROUND(E166*F166/100,0)</f>
        <v/>
      </c>
      <c r="I166" s="5" t="inlineStr">
        <is>
          <t>蛋白质(10g/100g)、碳水化合物(18g)、脂肪(7g)</t>
        </is>
      </c>
      <c r="J166" s="5" t="inlineStr">
        <is>
          <t>铁、钙</t>
        </is>
      </c>
      <c r="K166" s="5" t="inlineStr">
        <is>
          <t>轻油羊肉·炖｜陕西特色，馍增加碳水</t>
        </is>
      </c>
      <c r="L166" s="5" t="inlineStr">
        <is>
          <t>羊腿肉、面粉</t>
        </is>
      </c>
    </row>
    <row r="167">
      <c r="A167" s="5" t="inlineStr">
        <is>
          <t>涮羊肉（火锅）</t>
        </is>
      </c>
      <c r="B167" s="5" t="inlineStr">
        <is>
          <t>菜肴</t>
        </is>
      </c>
      <c r="C167" s="33" t="inlineStr">
        <is>
          <t>西北菜</t>
        </is>
      </c>
      <c r="D167" s="7" t="n">
        <v>795</v>
      </c>
      <c r="E167" s="7" t="n">
        <v>190</v>
      </c>
      <c r="F167" s="7" t="n">
        <v>150</v>
      </c>
      <c r="G167" s="7">
        <f>ROUND(D167*F167/100,0)</f>
        <v/>
      </c>
      <c r="H167" s="7">
        <f>ROUND(E167*F167/100,0)</f>
        <v/>
      </c>
      <c r="I167" s="5" t="inlineStr">
        <is>
          <t>蛋白质(14g/100g)、脂肪(13g)</t>
        </is>
      </c>
      <c r="J167" s="5" t="inlineStr">
        <is>
          <t>铁、锌</t>
        </is>
      </c>
      <c r="K167" s="5" t="inlineStr">
        <is>
          <t>轻油羊肉·涮｜麻酱等蘸料热量高</t>
        </is>
      </c>
      <c r="L167" s="5" t="inlineStr">
        <is>
          <t>羊腿肉</t>
        </is>
      </c>
    </row>
    <row r="168">
      <c r="A168" s="5" t="inlineStr">
        <is>
          <t>辣子鸡</t>
        </is>
      </c>
      <c r="B168" s="5" t="inlineStr">
        <is>
          <t>菜肴</t>
        </is>
      </c>
      <c r="C168" s="8" t="inlineStr">
        <is>
          <t>川菜</t>
        </is>
      </c>
      <c r="D168" s="7" t="n">
        <v>1130</v>
      </c>
      <c r="E168" s="7" t="n">
        <v>270</v>
      </c>
      <c r="F168" s="7" t="n">
        <v>200</v>
      </c>
      <c r="G168" s="7">
        <f>ROUND(D168*F168/100,0)</f>
        <v/>
      </c>
      <c r="H168" s="7">
        <f>ROUND(E168*F168/100,0)</f>
        <v/>
      </c>
      <c r="I168" s="5" t="inlineStr">
        <is>
          <t>蛋白质(16g/100g)、脂肪(18g)</t>
        </is>
      </c>
      <c r="J168" s="5" t="inlineStr">
        <is>
          <t>辣椒素、钠高</t>
        </is>
      </c>
      <c r="K168" s="5" t="inlineStr">
        <is>
          <t>重油鸡肉·炸炒｜整块炸后爆炒</t>
        </is>
      </c>
      <c r="L168" s="5" t="inlineStr">
        <is>
          <t>鸡腿肉（去皮）、干辣椒、菜籽油</t>
        </is>
      </c>
    </row>
    <row r="169">
      <c r="A169" s="5" t="inlineStr">
        <is>
          <t>口水鸡</t>
        </is>
      </c>
      <c r="B169" s="5" t="inlineStr">
        <is>
          <t>菜肴</t>
        </is>
      </c>
      <c r="C169" s="8" t="inlineStr">
        <is>
          <t>川菜</t>
        </is>
      </c>
      <c r="D169" s="7" t="n">
        <v>836</v>
      </c>
      <c r="E169" s="7" t="n">
        <v>200</v>
      </c>
      <c r="F169" s="7" t="n">
        <v>200</v>
      </c>
      <c r="G169" s="7">
        <f>ROUND(D169*F169/100,0)</f>
        <v/>
      </c>
      <c r="H169" s="7">
        <f>ROUND(E169*F169/100,0)</f>
        <v/>
      </c>
      <c r="I169" s="5" t="inlineStr">
        <is>
          <t>蛋白质(17g/100g)、脂肪(12g)</t>
        </is>
      </c>
      <c r="J169" s="5" t="inlineStr">
        <is>
          <t>辣椒素、花椒素、芝麻</t>
        </is>
      </c>
      <c r="K169" s="5" t="inlineStr">
        <is>
          <t>中油鸡肉·煮凉拌｜红油调味</t>
        </is>
      </c>
      <c r="L169" s="5" t="inlineStr">
        <is>
          <t>鸡腿肉（去皮）、芝麻酱、辣椒油</t>
        </is>
      </c>
    </row>
    <row r="170">
      <c r="A170" s="5" t="inlineStr">
        <is>
          <t>黄焖鸡</t>
        </is>
      </c>
      <c r="B170" s="5" t="inlineStr">
        <is>
          <t>菜肴</t>
        </is>
      </c>
      <c r="C170" s="8" t="inlineStr">
        <is>
          <t>川菜</t>
        </is>
      </c>
      <c r="D170" s="7" t="n">
        <v>795</v>
      </c>
      <c r="E170" s="7" t="n">
        <v>190</v>
      </c>
      <c r="F170" s="7" t="n">
        <v>200</v>
      </c>
      <c r="G170" s="7">
        <f>ROUND(D170*F170/100,0)</f>
        <v/>
      </c>
      <c r="H170" s="7">
        <f>ROUND(E170*F170/100,0)</f>
        <v/>
      </c>
      <c r="I170" s="5" t="inlineStr">
        <is>
          <t>蛋白质(14g/100g)、脂肪(12g)</t>
        </is>
      </c>
      <c r="J170" s="5" t="inlineStr">
        <is>
          <t>钠高</t>
        </is>
      </c>
      <c r="K170" s="5" t="inlineStr">
        <is>
          <t>中油鸡肉·焖｜外卖热门</t>
        </is>
      </c>
      <c r="L170" s="5" t="inlineStr">
        <is>
          <t>鸡腿肉（去皮）、土豆、生抽（酱油）</t>
        </is>
      </c>
    </row>
    <row r="171">
      <c r="A171" s="5" t="inlineStr">
        <is>
          <t>可乐鸡翅</t>
        </is>
      </c>
      <c r="B171" s="5" t="inlineStr">
        <is>
          <t>菜肴</t>
        </is>
      </c>
      <c r="C171" s="6" t="inlineStr">
        <is>
          <t>家常菜</t>
        </is>
      </c>
      <c r="D171" s="7" t="n">
        <v>920</v>
      </c>
      <c r="E171" s="7" t="n">
        <v>220</v>
      </c>
      <c r="F171" s="7" t="n">
        <v>150</v>
      </c>
      <c r="G171" s="7">
        <f>ROUND(D171*F171/100,0)</f>
        <v/>
      </c>
      <c r="H171" s="7">
        <f>ROUND(E171*F171/100,0)</f>
        <v/>
      </c>
      <c r="I171" s="5" t="inlineStr">
        <is>
          <t>脂肪(14g/100g)、蛋白质(16g)、碳水化合物(10g)</t>
        </is>
      </c>
      <c r="J171" s="5" t="inlineStr">
        <is>
          <t>糖分、磷</t>
        </is>
      </c>
      <c r="K171" s="5" t="inlineStr">
        <is>
          <t>中油鸡肉·焖</t>
        </is>
      </c>
      <c r="L171" s="5" t="inlineStr">
        <is>
          <t>鸡翅（整翅）</t>
        </is>
      </c>
    </row>
    <row r="172">
      <c r="A172" s="5" t="inlineStr">
        <is>
          <t>盐焗鸡</t>
        </is>
      </c>
      <c r="B172" s="5" t="inlineStr">
        <is>
          <t>菜肴</t>
        </is>
      </c>
      <c r="C172" s="10" t="inlineStr">
        <is>
          <t>粤菜</t>
        </is>
      </c>
      <c r="D172" s="7" t="n">
        <v>836</v>
      </c>
      <c r="E172" s="7" t="n">
        <v>200</v>
      </c>
      <c r="F172" s="7" t="n">
        <v>200</v>
      </c>
      <c r="G172" s="7">
        <f>ROUND(D172*F172/100,0)</f>
        <v/>
      </c>
      <c r="H172" s="7">
        <f>ROUND(E172*F172/100,0)</f>
        <v/>
      </c>
      <c r="I172" s="5" t="inlineStr">
        <is>
          <t>蛋白质(20g/100g)、脂肪(12g)</t>
        </is>
      </c>
      <c r="J172" s="5" t="inlineStr">
        <is>
          <t>钠极高、磷</t>
        </is>
      </c>
      <c r="K172" s="5" t="inlineStr">
        <is>
          <t>中油鸡肉·焗烤</t>
        </is>
      </c>
      <c r="L172" s="5" t="inlineStr">
        <is>
          <t>鸡腿肉（去皮）、食盐</t>
        </is>
      </c>
    </row>
    <row r="173">
      <c r="A173" s="5" t="inlineStr">
        <is>
          <t>炸鸡胸肉（无皮）</t>
        </is>
      </c>
      <c r="B173" s="5" t="inlineStr">
        <is>
          <t>菜肴</t>
        </is>
      </c>
      <c r="C173" s="6" t="inlineStr">
        <is>
          <t>家常菜</t>
        </is>
      </c>
      <c r="D173" s="7" t="n">
        <v>628</v>
      </c>
      <c r="E173" s="7" t="n">
        <v>150</v>
      </c>
      <c r="F173" s="7" t="n">
        <v>150</v>
      </c>
      <c r="G173" s="7">
        <f>ROUND(D173*F173/100,0)</f>
        <v/>
      </c>
      <c r="H173" s="7">
        <f>ROUND(E173*F173/100,0)</f>
        <v/>
      </c>
      <c r="I173" s="5" t="inlineStr">
        <is>
          <t>蛋白质(22g/100g)、脂肪(6g)</t>
        </is>
      </c>
      <c r="J173" s="5" t="inlineStr">
        <is>
          <t>B3、磷</t>
        </is>
      </c>
      <c r="K173" s="5" t="inlineStr">
        <is>
          <t>轻油鸡肉·炸｜健身常见，去皮热量低</t>
        </is>
      </c>
      <c r="L173" s="5" t="inlineStr">
        <is>
          <t>鸡胸肉、面粉、菜籽油</t>
        </is>
      </c>
    </row>
    <row r="174">
      <c r="A174" s="5" t="inlineStr">
        <is>
          <t>小鸡炖蘑菇</t>
        </is>
      </c>
      <c r="B174" s="5" t="inlineStr">
        <is>
          <t>菜肴</t>
        </is>
      </c>
      <c r="C174" s="12" t="inlineStr">
        <is>
          <t>东北菜</t>
        </is>
      </c>
      <c r="D174" s="7" t="n">
        <v>544</v>
      </c>
      <c r="E174" s="7" t="n">
        <v>130</v>
      </c>
      <c r="F174" s="7" t="n">
        <v>300</v>
      </c>
      <c r="G174" s="7">
        <f>ROUND(D174*F174/100,0)</f>
        <v/>
      </c>
      <c r="H174" s="7">
        <f>ROUND(E174*F174/100,0)</f>
        <v/>
      </c>
      <c r="I174" s="5" t="inlineStr">
        <is>
          <t>蛋白质(14g/100g)、脂肪(5g)</t>
        </is>
      </c>
      <c r="J174" s="5" t="inlineStr">
        <is>
          <t>多糖类（蘑菇）、铁</t>
        </is>
      </c>
      <c r="K174" s="5" t="inlineStr">
        <is>
          <t>轻油鸡肉·炖｜东北名菜</t>
        </is>
      </c>
      <c r="L174" s="5" t="inlineStr">
        <is>
          <t>鸡腿肉（去皮）、香菇（鲜）</t>
        </is>
      </c>
    </row>
    <row r="175">
      <c r="A175" s="5" t="inlineStr">
        <is>
          <t>干烧鱼</t>
        </is>
      </c>
      <c r="B175" s="5" t="inlineStr">
        <is>
          <t>菜肴</t>
        </is>
      </c>
      <c r="C175" s="6" t="inlineStr">
        <is>
          <t>家常菜</t>
        </is>
      </c>
      <c r="D175" s="7" t="n">
        <v>795</v>
      </c>
      <c r="E175" s="7" t="n">
        <v>190</v>
      </c>
      <c r="F175" s="7" t="n">
        <v>200</v>
      </c>
      <c r="G175" s="7">
        <f>ROUND(D175*F175/100,0)</f>
        <v/>
      </c>
      <c r="H175" s="7">
        <f>ROUND(E175*F175/100,0)</f>
        <v/>
      </c>
      <c r="I175" s="5" t="inlineStr">
        <is>
          <t>蛋白质(15g/100g)、脂肪(11g)</t>
        </is>
      </c>
      <c r="J175" s="5" t="inlineStr">
        <is>
          <t>DHA、钠高</t>
        </is>
      </c>
      <c r="K175" s="5" t="inlineStr">
        <is>
          <t>重油鱼·烧｜调味浓重</t>
        </is>
      </c>
      <c r="L175" s="5" t="inlineStr">
        <is>
          <t>草鱼、豆瓣酱</t>
        </is>
      </c>
    </row>
    <row r="176">
      <c r="A176" s="5" t="inlineStr">
        <is>
          <t>糖醋鱼</t>
        </is>
      </c>
      <c r="B176" s="5" t="inlineStr">
        <is>
          <t>菜肴</t>
        </is>
      </c>
      <c r="C176" s="9" t="inlineStr">
        <is>
          <t>苏菜</t>
        </is>
      </c>
      <c r="D176" s="7" t="n">
        <v>920</v>
      </c>
      <c r="E176" s="7" t="n">
        <v>220</v>
      </c>
      <c r="F176" s="7" t="n">
        <v>200</v>
      </c>
      <c r="G176" s="7">
        <f>ROUND(D176*F176/100,0)</f>
        <v/>
      </c>
      <c r="H176" s="7">
        <f>ROUND(E176*F176/100,0)</f>
        <v/>
      </c>
      <c r="I176" s="5" t="inlineStr">
        <is>
          <t>蛋白质(13g/100g)、脂肪(10g)、碳水化合物(16g)</t>
        </is>
      </c>
      <c r="J176" s="5" t="inlineStr">
        <is>
          <t>DHA、糖分高</t>
        </is>
      </c>
      <c r="K176" s="5" t="inlineStr">
        <is>
          <t>重油鱼·炸烧｜外皮炸酥</t>
        </is>
      </c>
      <c r="L176" s="5" t="inlineStr">
        <is>
          <t>草鱼、白糖、醋、菜籽油</t>
        </is>
      </c>
    </row>
    <row r="177">
      <c r="A177" s="5" t="inlineStr">
        <is>
          <t>红烧鲫鱼</t>
        </is>
      </c>
      <c r="B177" s="5" t="inlineStr">
        <is>
          <t>菜肴</t>
        </is>
      </c>
      <c r="C177" s="10" t="inlineStr">
        <is>
          <t>粤菜</t>
        </is>
      </c>
      <c r="D177" s="7" t="n">
        <v>628</v>
      </c>
      <c r="E177" s="7" t="n">
        <v>150</v>
      </c>
      <c r="F177" s="7" t="n">
        <v>200</v>
      </c>
      <c r="G177" s="7">
        <f>ROUND(D177*F177/100,0)</f>
        <v/>
      </c>
      <c r="H177" s="7">
        <f>ROUND(E177*F177/100,0)</f>
        <v/>
      </c>
      <c r="I177" s="5" t="inlineStr">
        <is>
          <t>蛋白质(17g/100g)、脂肪(5g)</t>
        </is>
      </c>
      <c r="J177" s="5" t="inlineStr">
        <is>
          <t>钙(极高,79mg)、DHA</t>
        </is>
      </c>
      <c r="K177" s="5" t="inlineStr">
        <is>
          <t>中油鱼·烧</t>
        </is>
      </c>
      <c r="L177" s="5" t="inlineStr">
        <is>
          <t>鲫鱼、生抽（酱油）</t>
        </is>
      </c>
    </row>
    <row r="178">
      <c r="A178" s="5" t="inlineStr">
        <is>
          <t>剁椒鱼头</t>
        </is>
      </c>
      <c r="B178" s="5" t="inlineStr">
        <is>
          <t>菜肴</t>
        </is>
      </c>
      <c r="C178" s="14" t="inlineStr">
        <is>
          <t>湘菜</t>
        </is>
      </c>
      <c r="D178" s="7" t="n">
        <v>628</v>
      </c>
      <c r="E178" s="7" t="n">
        <v>150</v>
      </c>
      <c r="F178" s="7" t="n">
        <v>300</v>
      </c>
      <c r="G178" s="7">
        <f>ROUND(D178*F178/100,0)</f>
        <v/>
      </c>
      <c r="H178" s="7">
        <f>ROUND(E178*F178/100,0)</f>
        <v/>
      </c>
      <c r="I178" s="5" t="inlineStr">
        <is>
          <t>蛋白质(14g/100g)、脂肪(8g)</t>
        </is>
      </c>
      <c r="J178" s="5" t="inlineStr">
        <is>
          <t>辣椒素、DHA、钠高</t>
        </is>
      </c>
      <c r="K178" s="5" t="inlineStr">
        <is>
          <t>中油鱼·蒸</t>
        </is>
      </c>
      <c r="L178" s="5" t="inlineStr">
        <is>
          <t>草鱼、红椒</t>
        </is>
      </c>
    </row>
    <row r="179">
      <c r="A179" s="5" t="inlineStr">
        <is>
          <t>蒜蓉蒸扇贝</t>
        </is>
      </c>
      <c r="B179" s="5" t="inlineStr">
        <is>
          <t>菜肴</t>
        </is>
      </c>
      <c r="C179" s="10" t="inlineStr">
        <is>
          <t>粤菜</t>
        </is>
      </c>
      <c r="D179" s="7" t="n">
        <v>418</v>
      </c>
      <c r="E179" s="7" t="n">
        <v>100</v>
      </c>
      <c r="F179" s="7" t="n">
        <v>150</v>
      </c>
      <c r="G179" s="7">
        <f>ROUND(D179*F179/100,0)</f>
        <v/>
      </c>
      <c r="H179" s="7">
        <f>ROUND(E179*F179/100,0)</f>
        <v/>
      </c>
      <c r="I179" s="5" t="inlineStr">
        <is>
          <t>蛋白质(15g/100g)、脂肪(4g)</t>
        </is>
      </c>
      <c r="J179" s="5" t="inlineStr">
        <is>
          <t>锌、硒、牛磺酸</t>
        </is>
      </c>
      <c r="K179" s="5" t="inlineStr">
        <is>
          <t>轻油海鲜·蒸</t>
        </is>
      </c>
      <c r="L179" s="5" t="inlineStr">
        <is>
          <t>扇贝（鲜）、大蒜</t>
        </is>
      </c>
    </row>
    <row r="180">
      <c r="A180" s="5" t="inlineStr">
        <is>
          <t>白灼虾</t>
        </is>
      </c>
      <c r="B180" s="5" t="inlineStr">
        <is>
          <t>菜肴</t>
        </is>
      </c>
      <c r="C180" s="10" t="inlineStr">
        <is>
          <t>粤菜</t>
        </is>
      </c>
      <c r="D180" s="7" t="n">
        <v>418</v>
      </c>
      <c r="E180" s="7" t="n">
        <v>100</v>
      </c>
      <c r="F180" s="7" t="n">
        <v>200</v>
      </c>
      <c r="G180" s="7">
        <f>ROUND(D180*F180/100,0)</f>
        <v/>
      </c>
      <c r="H180" s="7">
        <f>ROUND(E180*F180/100,0)</f>
        <v/>
      </c>
      <c r="I180" s="5" t="inlineStr">
        <is>
          <t>蛋白质(20g/100g)、脂肪(1g)</t>
        </is>
      </c>
      <c r="J180" s="5" t="inlineStr">
        <is>
          <t>锌、硒、牛磺酸</t>
        </is>
      </c>
      <c r="K180" s="5" t="inlineStr">
        <is>
          <t>轻油海鲜·煮｜低热量高蛋白首选</t>
        </is>
      </c>
      <c r="L180" s="5" t="inlineStr">
        <is>
          <t>虾（大虾）</t>
        </is>
      </c>
    </row>
    <row r="181">
      <c r="A181" s="5" t="inlineStr">
        <is>
          <t>干锅虾</t>
        </is>
      </c>
      <c r="B181" s="5" t="inlineStr">
        <is>
          <t>菜肴</t>
        </is>
      </c>
      <c r="C181" s="10" t="inlineStr">
        <is>
          <t>粤菜</t>
        </is>
      </c>
      <c r="D181" s="7" t="n">
        <v>920</v>
      </c>
      <c r="E181" s="7" t="n">
        <v>220</v>
      </c>
      <c r="F181" s="7" t="n">
        <v>200</v>
      </c>
      <c r="G181" s="7">
        <f>ROUND(D181*F181/100,0)</f>
        <v/>
      </c>
      <c r="H181" s="7">
        <f>ROUND(E181*F181/100,0)</f>
        <v/>
      </c>
      <c r="I181" s="5" t="inlineStr">
        <is>
          <t>蛋白质(16g/100g)、脂肪(14g)</t>
        </is>
      </c>
      <c r="J181" s="5" t="inlineStr">
        <is>
          <t>辣椒素、钠高</t>
        </is>
      </c>
      <c r="K181" s="5" t="inlineStr">
        <is>
          <t>重油海鲜·炒</t>
        </is>
      </c>
      <c r="L181" s="5" t="inlineStr">
        <is>
          <t>虾（大虾）、辣椒油、菜籽油</t>
        </is>
      </c>
    </row>
    <row r="182">
      <c r="A182" s="5" t="inlineStr">
        <is>
          <t>香辣蟹</t>
        </is>
      </c>
      <c r="B182" s="5" t="inlineStr">
        <is>
          <t>菜肴</t>
        </is>
      </c>
      <c r="C182" s="10" t="inlineStr">
        <is>
          <t>粤菜</t>
        </is>
      </c>
      <c r="D182" s="7" t="n">
        <v>836</v>
      </c>
      <c r="E182" s="7" t="n">
        <v>200</v>
      </c>
      <c r="F182" s="7" t="n">
        <v>250</v>
      </c>
      <c r="G182" s="7">
        <f>ROUND(D182*F182/100,0)</f>
        <v/>
      </c>
      <c r="H182" s="7">
        <f>ROUND(E182*F182/100,0)</f>
        <v/>
      </c>
      <c r="I182" s="5" t="inlineStr">
        <is>
          <t>蛋白质(14g/100g)、脂肪(12g)</t>
        </is>
      </c>
      <c r="J182" s="5" t="inlineStr">
        <is>
          <t>锌、胆固醇较高</t>
        </is>
      </c>
      <c r="K182" s="5" t="inlineStr">
        <is>
          <t>重油海鲜·炒</t>
        </is>
      </c>
      <c r="L182" s="5" t="inlineStr">
        <is>
          <t>螃蟹（河蟹）、辣椒油</t>
        </is>
      </c>
    </row>
    <row r="183">
      <c r="A183" s="5" t="inlineStr">
        <is>
          <t>蛤蜊蒸蛋</t>
        </is>
      </c>
      <c r="B183" s="5" t="inlineStr">
        <is>
          <t>菜肴</t>
        </is>
      </c>
      <c r="C183" s="10" t="inlineStr">
        <is>
          <t>粤菜</t>
        </is>
      </c>
      <c r="D183" s="7" t="n">
        <v>418</v>
      </c>
      <c r="E183" s="7" t="n">
        <v>100</v>
      </c>
      <c r="F183" s="7" t="n">
        <v>200</v>
      </c>
      <c r="G183" s="7">
        <f>ROUND(D183*F183/100,0)</f>
        <v/>
      </c>
      <c r="H183" s="7">
        <f>ROUND(E183*F183/100,0)</f>
        <v/>
      </c>
      <c r="I183" s="5" t="inlineStr">
        <is>
          <t>蛋白质(10g/100g)、脂肪(5g)</t>
        </is>
      </c>
      <c r="J183" s="5" t="inlineStr">
        <is>
          <t>锌、硒、牛磺酸</t>
        </is>
      </c>
      <c r="K183" s="5" t="inlineStr">
        <is>
          <t>轻油海鲜·蒸</t>
        </is>
      </c>
      <c r="L183" s="5" t="inlineStr">
        <is>
          <t>蛤蜊、鸡蛋（全蛋）</t>
        </is>
      </c>
    </row>
    <row r="184">
      <c r="A184" s="5" t="inlineStr">
        <is>
          <t>干锅花菜</t>
        </is>
      </c>
      <c r="B184" s="5" t="inlineStr">
        <is>
          <t>菜肴</t>
        </is>
      </c>
      <c r="C184" s="8" t="inlineStr">
        <is>
          <t>川菜</t>
        </is>
      </c>
      <c r="D184" s="7" t="n">
        <v>628</v>
      </c>
      <c r="E184" s="7" t="n">
        <v>150</v>
      </c>
      <c r="F184" s="7" t="n">
        <v>200</v>
      </c>
      <c r="G184" s="7">
        <f>ROUND(D184*F184/100,0)</f>
        <v/>
      </c>
      <c r="H184" s="7">
        <f>ROUND(E184*F184/100,0)</f>
        <v/>
      </c>
      <c r="I184" s="5" t="inlineStr">
        <is>
          <t>膳食纤维(2g/100g)、维生素C</t>
        </is>
      </c>
      <c r="J184" s="5" t="inlineStr">
        <is>
          <t>脂肪(8g)、钠高</t>
        </is>
      </c>
      <c r="K184" s="5" t="inlineStr">
        <is>
          <t>中油素菜·干锅</t>
        </is>
      </c>
      <c r="L184" s="5" t="inlineStr">
        <is>
          <t>花椰菜（白）、猪腿肉（瘦）、菜籽油</t>
        </is>
      </c>
    </row>
    <row r="185">
      <c r="A185" s="5" t="inlineStr">
        <is>
          <t>炒合菜</t>
        </is>
      </c>
      <c r="B185" s="5" t="inlineStr">
        <is>
          <t>菜肴</t>
        </is>
      </c>
      <c r="C185" s="6" t="inlineStr">
        <is>
          <t>家常菜</t>
        </is>
      </c>
      <c r="D185" s="7" t="n">
        <v>335</v>
      </c>
      <c r="E185" s="7" t="n">
        <v>80</v>
      </c>
      <c r="F185" s="7" t="n">
        <v>200</v>
      </c>
      <c r="G185" s="7">
        <f>ROUND(D185*F185/100,0)</f>
        <v/>
      </c>
      <c r="H185" s="7">
        <f>ROUND(E185*F185/100,0)</f>
        <v/>
      </c>
      <c r="I185" s="5" t="inlineStr">
        <is>
          <t>膳食纤维(2g/100g)、多种维生素</t>
        </is>
      </c>
      <c r="J185" s="5" t="inlineStr">
        <is>
          <t>少量植物油</t>
        </is>
      </c>
      <c r="K185" s="5" t="inlineStr">
        <is>
          <t>轻油素菜·炒</t>
        </is>
      </c>
      <c r="L185" s="5" t="inlineStr">
        <is>
          <t>包菜/圆白菜、胡萝卜、木耳（干）、鸡蛋（全蛋）</t>
        </is>
      </c>
    </row>
    <row r="186">
      <c r="A186" s="5" t="inlineStr">
        <is>
          <t>红烧豆腐</t>
        </is>
      </c>
      <c r="B186" s="5" t="inlineStr">
        <is>
          <t>菜肴</t>
        </is>
      </c>
      <c r="C186" s="6" t="inlineStr">
        <is>
          <t>家常菜</t>
        </is>
      </c>
      <c r="D186" s="7" t="n">
        <v>502</v>
      </c>
      <c r="E186" s="7" t="n">
        <v>120</v>
      </c>
      <c r="F186" s="7" t="n">
        <v>200</v>
      </c>
      <c r="G186" s="7">
        <f>ROUND(D186*F186/100,0)</f>
        <v/>
      </c>
      <c r="H186" s="7">
        <f>ROUND(E186*F186/100,0)</f>
        <v/>
      </c>
      <c r="I186" s="5" t="inlineStr">
        <is>
          <t>蛋白质(8g/100g)、钙</t>
        </is>
      </c>
      <c r="J186" s="5" t="inlineStr">
        <is>
          <t>脂肪(7g)、钠高</t>
        </is>
      </c>
      <c r="K186" s="5" t="inlineStr">
        <is>
          <t>中油素菜·烧</t>
        </is>
      </c>
      <c r="L186" s="5" t="inlineStr">
        <is>
          <t>豆腐（北豆腐）、生抽（酱油）</t>
        </is>
      </c>
    </row>
    <row r="187">
      <c r="A187" s="5" t="inlineStr">
        <is>
          <t>酿豆腐</t>
        </is>
      </c>
      <c r="B187" s="5" t="inlineStr">
        <is>
          <t>菜肴</t>
        </is>
      </c>
      <c r="C187" s="6" t="inlineStr">
        <is>
          <t>家常菜</t>
        </is>
      </c>
      <c r="D187" s="7" t="n">
        <v>544</v>
      </c>
      <c r="E187" s="7" t="n">
        <v>130</v>
      </c>
      <c r="F187" s="7" t="n">
        <v>200</v>
      </c>
      <c r="G187" s="7">
        <f>ROUND(D187*F187/100,0)</f>
        <v/>
      </c>
      <c r="H187" s="7">
        <f>ROUND(E187*F187/100,0)</f>
        <v/>
      </c>
      <c r="I187" s="5" t="inlineStr">
        <is>
          <t>蛋白质(10g/100g)、脂肪(7g)</t>
        </is>
      </c>
      <c r="J187" s="5" t="inlineStr">
        <is>
          <t>钙、铁</t>
        </is>
      </c>
      <c r="K187" s="5" t="inlineStr">
        <is>
          <t>中油素菜·煎烧</t>
        </is>
      </c>
      <c r="L187" s="5" t="inlineStr">
        <is>
          <t>豆腐（北豆腐）、猪腿肉（瘦）</t>
        </is>
      </c>
    </row>
    <row r="188">
      <c r="A188" s="5" t="inlineStr">
        <is>
          <t>手撕包菜</t>
        </is>
      </c>
      <c r="B188" s="5" t="inlineStr">
        <is>
          <t>菜肴</t>
        </is>
      </c>
      <c r="C188" s="6" t="inlineStr">
        <is>
          <t>家常菜</t>
        </is>
      </c>
      <c r="D188" s="7" t="n">
        <v>335</v>
      </c>
      <c r="E188" s="7" t="n">
        <v>80</v>
      </c>
      <c r="F188" s="7" t="n">
        <v>200</v>
      </c>
      <c r="G188" s="7">
        <f>ROUND(D188*F188/100,0)</f>
        <v/>
      </c>
      <c r="H188" s="7">
        <f>ROUND(E188*F188/100,0)</f>
        <v/>
      </c>
      <c r="I188" s="5" t="inlineStr">
        <is>
          <t>膳食纤维(1.5g/100g)、维生素C、K</t>
        </is>
      </c>
      <c r="J188" s="5" t="inlineStr">
        <is>
          <t>少量植物油、大蒜素</t>
        </is>
      </c>
      <c r="K188" s="5" t="inlineStr">
        <is>
          <t>轻油素菜·炒</t>
        </is>
      </c>
      <c r="L188" s="5" t="inlineStr">
        <is>
          <t>包菜/圆白菜、大蒜、菜籽油</t>
        </is>
      </c>
    </row>
    <row r="189">
      <c r="A189" s="5" t="inlineStr">
        <is>
          <t>油焖春笋</t>
        </is>
      </c>
      <c r="B189" s="5" t="inlineStr">
        <is>
          <t>菜肴</t>
        </is>
      </c>
      <c r="C189" s="11" t="inlineStr">
        <is>
          <t>浙菜</t>
        </is>
      </c>
      <c r="D189" s="7" t="n">
        <v>502</v>
      </c>
      <c r="E189" s="7" t="n">
        <v>120</v>
      </c>
      <c r="F189" s="7" t="n">
        <v>150</v>
      </c>
      <c r="G189" s="7">
        <f>ROUND(D189*F189/100,0)</f>
        <v/>
      </c>
      <c r="H189" s="7">
        <f>ROUND(E189*F189/100,0)</f>
        <v/>
      </c>
      <c r="I189" s="5" t="inlineStr">
        <is>
          <t>膳食纤维(1g/100g)、维生素C</t>
        </is>
      </c>
      <c r="J189" s="5" t="inlineStr">
        <is>
          <t>脂肪(8g)、钠高</t>
        </is>
      </c>
      <c r="K189" s="5" t="inlineStr">
        <is>
          <t>中油素菜·焖</t>
        </is>
      </c>
      <c r="L189" s="5" t="inlineStr">
        <is>
          <t>春笋、生抽（酱油）、菜籽油</t>
        </is>
      </c>
    </row>
    <row r="190">
      <c r="A190" s="5" t="inlineStr">
        <is>
          <t>凉拌黄瓜</t>
        </is>
      </c>
      <c r="B190" s="5" t="inlineStr">
        <is>
          <t>菜肴</t>
        </is>
      </c>
      <c r="C190" s="6" t="inlineStr">
        <is>
          <t>家常菜</t>
        </is>
      </c>
      <c r="D190" s="7" t="n">
        <v>84</v>
      </c>
      <c r="E190" s="7" t="n">
        <v>20</v>
      </c>
      <c r="F190" s="7" t="n">
        <v>200</v>
      </c>
      <c r="G190" s="7">
        <f>ROUND(D190*F190/100,0)</f>
        <v/>
      </c>
      <c r="H190" s="7">
        <f>ROUND(E190*F190/100,0)</f>
        <v/>
      </c>
      <c r="I190" s="5" t="inlineStr">
        <is>
          <t>维生素C(9mg/100g)、水分92%</t>
        </is>
      </c>
      <c r="J190" s="5" t="inlineStr">
        <is>
          <t>钾、少量蒜素</t>
        </is>
      </c>
      <c r="K190" s="5" t="inlineStr">
        <is>
          <t>轻油素菜·凉拌｜减脂优选</t>
        </is>
      </c>
      <c r="L190" s="5" t="inlineStr">
        <is>
          <t>黄瓜、大蒜、醋</t>
        </is>
      </c>
    </row>
    <row r="191">
      <c r="A191" s="5" t="inlineStr">
        <is>
          <t>拍黄瓜</t>
        </is>
      </c>
      <c r="B191" s="5" t="inlineStr">
        <is>
          <t>菜肴</t>
        </is>
      </c>
      <c r="C191" s="6" t="inlineStr">
        <is>
          <t>家常菜</t>
        </is>
      </c>
      <c r="D191" s="7" t="n">
        <v>126</v>
      </c>
      <c r="E191" s="7" t="n">
        <v>30</v>
      </c>
      <c r="F191" s="7" t="n">
        <v>200</v>
      </c>
      <c r="G191" s="7">
        <f>ROUND(D191*F191/100,0)</f>
        <v/>
      </c>
      <c r="H191" s="7">
        <f>ROUND(E191*F191/100,0)</f>
        <v/>
      </c>
      <c r="I191" s="5" t="inlineStr">
        <is>
          <t>维生素C(9mg/100g)</t>
        </is>
      </c>
      <c r="J191" s="5" t="inlineStr">
        <is>
          <t>少量蒜素、芝麻油</t>
        </is>
      </c>
      <c r="K191" s="5" t="inlineStr">
        <is>
          <t>轻油素菜·凉拌</t>
        </is>
      </c>
      <c r="L191" s="5" t="inlineStr">
        <is>
          <t>黄瓜、大蒜、芝麻油</t>
        </is>
      </c>
    </row>
    <row r="192">
      <c r="A192" s="5" t="inlineStr">
        <is>
          <t>皮蛋豆腐</t>
        </is>
      </c>
      <c r="B192" s="5" t="inlineStr">
        <is>
          <t>菜肴</t>
        </is>
      </c>
      <c r="C192" s="6" t="inlineStr">
        <is>
          <t>家常菜</t>
        </is>
      </c>
      <c r="D192" s="7" t="n">
        <v>335</v>
      </c>
      <c r="E192" s="7" t="n">
        <v>80</v>
      </c>
      <c r="F192" s="7" t="n">
        <v>200</v>
      </c>
      <c r="G192" s="7">
        <f>ROUND(D192*F192/100,0)</f>
        <v/>
      </c>
      <c r="H192" s="7">
        <f>ROUND(E192*F192/100,0)</f>
        <v/>
      </c>
      <c r="I192" s="5" t="inlineStr">
        <is>
          <t>蛋白质(8g/100g)、钙</t>
        </is>
      </c>
      <c r="J192" s="5" t="inlineStr">
        <is>
          <t>铁、少量铅</t>
        </is>
      </c>
      <c r="K192" s="5" t="inlineStr">
        <is>
          <t>轻油素菜·凉拌</t>
        </is>
      </c>
      <c r="L192" s="5" t="inlineStr">
        <is>
          <t>豆腐（南豆腐）、皮蛋</t>
        </is>
      </c>
    </row>
    <row r="193">
      <c r="A193" s="5" t="inlineStr">
        <is>
          <t>酸辣土豆丝</t>
        </is>
      </c>
      <c r="B193" s="5" t="inlineStr">
        <is>
          <t>菜肴</t>
        </is>
      </c>
      <c r="C193" s="6" t="inlineStr">
        <is>
          <t>家常菜</t>
        </is>
      </c>
      <c r="D193" s="7" t="n">
        <v>418</v>
      </c>
      <c r="E193" s="7" t="n">
        <v>100</v>
      </c>
      <c r="F193" s="7" t="n">
        <v>200</v>
      </c>
      <c r="G193" s="7">
        <f>ROUND(D193*F193/100,0)</f>
        <v/>
      </c>
      <c r="H193" s="7">
        <f>ROUND(E193*F193/100,0)</f>
        <v/>
      </c>
      <c r="I193" s="5" t="inlineStr">
        <is>
          <t>碳水化合物(18g/100g)、维生素C</t>
        </is>
      </c>
      <c r="J193" s="5" t="inlineStr">
        <is>
          <t>少量脂肪、醋酸</t>
        </is>
      </c>
      <c r="K193" s="5" t="inlineStr">
        <is>
          <t>轻油素菜·炒</t>
        </is>
      </c>
      <c r="L193" s="5" t="inlineStr">
        <is>
          <t>土豆、青椒、醋</t>
        </is>
      </c>
    </row>
    <row r="194">
      <c r="A194" s="5" t="inlineStr">
        <is>
          <t>炒藕片</t>
        </is>
      </c>
      <c r="B194" s="5" t="inlineStr">
        <is>
          <t>菜肴</t>
        </is>
      </c>
      <c r="C194" s="11" t="inlineStr">
        <is>
          <t>浙菜</t>
        </is>
      </c>
      <c r="D194" s="7" t="n">
        <v>502</v>
      </c>
      <c r="E194" s="7" t="n">
        <v>120</v>
      </c>
      <c r="F194" s="7" t="n">
        <v>200</v>
      </c>
      <c r="G194" s="7">
        <f>ROUND(D194*F194/100,0)</f>
        <v/>
      </c>
      <c r="H194" s="7">
        <f>ROUND(E194*F194/100,0)</f>
        <v/>
      </c>
      <c r="I194" s="5" t="inlineStr">
        <is>
          <t>碳水化合物(18g/100g)、维生素C</t>
        </is>
      </c>
      <c r="J194" s="5" t="inlineStr">
        <is>
          <t>膳食纤维、铁</t>
        </is>
      </c>
      <c r="K194" s="5" t="inlineStr">
        <is>
          <t>轻油素菜·炒</t>
        </is>
      </c>
      <c r="L194" s="5" t="inlineStr">
        <is>
          <t>莲藕、菜籽油</t>
        </is>
      </c>
    </row>
    <row r="195">
      <c r="A195" s="15" t="inlineStr">
        <is>
          <t>番茄牛腩汤</t>
        </is>
      </c>
      <c r="B195" s="15" t="inlineStr">
        <is>
          <t>汤羹</t>
        </is>
      </c>
      <c r="C195" s="13" t="inlineStr">
        <is>
          <t>—</t>
        </is>
      </c>
      <c r="D195" s="16" t="n">
        <v>280</v>
      </c>
      <c r="E195" s="16" t="n">
        <v>67</v>
      </c>
      <c r="F195" s="16" t="n">
        <v>400</v>
      </c>
      <c r="G195" s="16">
        <f>ROUND(D195*F195/100,0)</f>
        <v/>
      </c>
      <c r="H195" s="16">
        <f>ROUND(E195*F195/100,0)</f>
        <v/>
      </c>
      <c r="I195" s="15" t="inlineStr">
        <is>
          <t>蛋白质(7g/100g)、番茄红素</t>
        </is>
      </c>
      <c r="J195" s="15" t="inlineStr">
        <is>
          <t>铁、维生素C</t>
        </is>
      </c>
      <c r="K195" s="15" t="inlineStr">
        <is>
          <t>牛腩油脂需撇除</t>
        </is>
      </c>
      <c r="L195" s="15" t="inlineStr">
        <is>
          <t>牛腩、番茄</t>
        </is>
      </c>
    </row>
    <row r="196">
      <c r="A196" s="15" t="inlineStr">
        <is>
          <t>猪肚鸡汤</t>
        </is>
      </c>
      <c r="B196" s="15" t="inlineStr">
        <is>
          <t>汤羹</t>
        </is>
      </c>
      <c r="C196" s="13" t="inlineStr">
        <is>
          <t>—</t>
        </is>
      </c>
      <c r="D196" s="16" t="n">
        <v>251</v>
      </c>
      <c r="E196" s="16" t="n">
        <v>60</v>
      </c>
      <c r="F196" s="16" t="n">
        <v>400</v>
      </c>
      <c r="G196" s="16">
        <f>ROUND(D196*F196/100,0)</f>
        <v/>
      </c>
      <c r="H196" s="16">
        <f>ROUND(E196*F196/100,0)</f>
        <v/>
      </c>
      <c r="I196" s="15" t="inlineStr">
        <is>
          <t>蛋白质(6g/100g)、胶原蛋白</t>
        </is>
      </c>
      <c r="J196" s="15" t="inlineStr">
        <is>
          <t>铁、钙</t>
        </is>
      </c>
      <c r="K196" s="15" t="inlineStr">
        <is>
          <t>广式滋补汤</t>
        </is>
      </c>
      <c r="L196" s="15" t="inlineStr">
        <is>
          <t>猪肾、鸡腿肉（去皮）、生姜</t>
        </is>
      </c>
    </row>
    <row r="197">
      <c r="A197" s="15" t="inlineStr">
        <is>
          <t>鲫鱼豆腐汤</t>
        </is>
      </c>
      <c r="B197" s="15" t="inlineStr">
        <is>
          <t>汤羹</t>
        </is>
      </c>
      <c r="C197" s="13" t="inlineStr">
        <is>
          <t>—</t>
        </is>
      </c>
      <c r="D197" s="16" t="n">
        <v>197</v>
      </c>
      <c r="E197" s="16" t="n">
        <v>47</v>
      </c>
      <c r="F197" s="16" t="n">
        <v>400</v>
      </c>
      <c r="G197" s="16">
        <f>ROUND(D197*F197/100,0)</f>
        <v/>
      </c>
      <c r="H197" s="16">
        <f>ROUND(E197*F197/100,0)</f>
        <v/>
      </c>
      <c r="I197" s="15" t="inlineStr">
        <is>
          <t>蛋白质(7g/100g)、钙</t>
        </is>
      </c>
      <c r="J197" s="15" t="inlineStr">
        <is>
          <t>DHA、维生素D</t>
        </is>
      </c>
      <c r="K197" s="15" t="inlineStr">
        <is>
          <t>高钙汤品</t>
        </is>
      </c>
      <c r="L197" s="15" t="inlineStr">
        <is>
          <t>鲫鱼、豆腐（北豆腐）</t>
        </is>
      </c>
    </row>
    <row r="198">
      <c r="A198" s="15" t="inlineStr">
        <is>
          <t>海带排骨汤</t>
        </is>
      </c>
      <c r="B198" s="15" t="inlineStr">
        <is>
          <t>汤羹</t>
        </is>
      </c>
      <c r="C198" s="13" t="inlineStr">
        <is>
          <t>—</t>
        </is>
      </c>
      <c r="D198" s="16" t="n">
        <v>230</v>
      </c>
      <c r="E198" s="16" t="n">
        <v>55</v>
      </c>
      <c r="F198" s="16" t="n">
        <v>400</v>
      </c>
      <c r="G198" s="16">
        <f>ROUND(D198*F198/100,0)</f>
        <v/>
      </c>
      <c r="H198" s="16">
        <f>ROUND(E198*F198/100,0)</f>
        <v/>
      </c>
      <c r="I198" s="15" t="inlineStr">
        <is>
          <t>钙(高)、碘(极高)</t>
        </is>
      </c>
      <c r="J198" s="15" t="inlineStr">
        <is>
          <t>蛋白质(4g)、铁</t>
        </is>
      </c>
      <c r="K198" s="15" t="inlineStr">
        <is>
          <t>补碘补钙</t>
        </is>
      </c>
      <c r="L198" s="15" t="inlineStr">
        <is>
          <t>猪大排、海带（鲜）</t>
        </is>
      </c>
    </row>
    <row r="199">
      <c r="A199" s="15" t="inlineStr">
        <is>
          <t>花生猪脚汤</t>
        </is>
      </c>
      <c r="B199" s="15" t="inlineStr">
        <is>
          <t>汤羹</t>
        </is>
      </c>
      <c r="C199" s="13" t="inlineStr">
        <is>
          <t>—</t>
        </is>
      </c>
      <c r="D199" s="16" t="n">
        <v>314</v>
      </c>
      <c r="E199" s="16" t="n">
        <v>75</v>
      </c>
      <c r="F199" s="16" t="n">
        <v>400</v>
      </c>
      <c r="G199" s="16">
        <f>ROUND(D199*F199/100,0)</f>
        <v/>
      </c>
      <c r="H199" s="16">
        <f>ROUND(E199*F199/100,0)</f>
        <v/>
      </c>
      <c r="I199" s="15" t="inlineStr">
        <is>
          <t>脂肪(5g/100g)、蛋白质(5g)、胶原蛋白</t>
        </is>
      </c>
      <c r="J199" s="15" t="inlineStr">
        <is>
          <t>钙、铁</t>
        </is>
      </c>
      <c r="K199" s="15" t="inlineStr">
        <is>
          <t>传统滋补汤，脂肪较高</t>
        </is>
      </c>
      <c r="L199" s="15" t="inlineStr">
        <is>
          <t>猪大排、花生</t>
        </is>
      </c>
    </row>
    <row r="200">
      <c r="A200" s="15" t="inlineStr">
        <is>
          <t>酸辣粉（汤）</t>
        </is>
      </c>
      <c r="B200" s="15" t="inlineStr">
        <is>
          <t>汤羹</t>
        </is>
      </c>
      <c r="C200" s="13" t="inlineStr">
        <is>
          <t>—</t>
        </is>
      </c>
      <c r="D200" s="16" t="n">
        <v>334</v>
      </c>
      <c r="E200" s="16" t="n">
        <v>80</v>
      </c>
      <c r="F200" s="16" t="n">
        <v>400</v>
      </c>
      <c r="G200" s="16">
        <f>ROUND(D200*F200/100,0)</f>
        <v/>
      </c>
      <c r="H200" s="16">
        <f>ROUND(E200*F200/100,0)</f>
        <v/>
      </c>
      <c r="I200" s="15" t="inlineStr">
        <is>
          <t>碳水化合物(16g/100g)、脂肪(3g)</t>
        </is>
      </c>
      <c r="J200" s="15" t="inlineStr">
        <is>
          <t>钠极高</t>
        </is>
      </c>
      <c r="K200" s="15" t="inlineStr">
        <is>
          <t>红薯粉高碳水</t>
        </is>
      </c>
      <c r="L200" s="15" t="inlineStr">
        <is>
          <t>粉条、酸菜、辣椒油</t>
        </is>
      </c>
    </row>
    <row r="201">
      <c r="A201" s="15" t="inlineStr">
        <is>
          <t>羊肉汤</t>
        </is>
      </c>
      <c r="B201" s="15" t="inlineStr">
        <is>
          <t>汤羹</t>
        </is>
      </c>
      <c r="C201" s="13" t="inlineStr">
        <is>
          <t>—</t>
        </is>
      </c>
      <c r="D201" s="16" t="n">
        <v>251</v>
      </c>
      <c r="E201" s="16" t="n">
        <v>60</v>
      </c>
      <c r="F201" s="16" t="n">
        <v>400</v>
      </c>
      <c r="G201" s="16">
        <f>ROUND(D201*F201/100,0)</f>
        <v/>
      </c>
      <c r="H201" s="16">
        <f>ROUND(E201*F201/100,0)</f>
        <v/>
      </c>
      <c r="I201" s="15" t="inlineStr">
        <is>
          <t>蛋白质(7g/100g)、脂肪(3g)</t>
        </is>
      </c>
      <c r="J201" s="15" t="inlineStr">
        <is>
          <t>铁、锌</t>
        </is>
      </c>
      <c r="K201" s="15" t="inlineStr">
        <is>
          <t>冬季滋补，浮油热量较高</t>
        </is>
      </c>
      <c r="L201" s="15" t="inlineStr">
        <is>
          <t>羊腿肉、生姜</t>
        </is>
      </c>
    </row>
    <row r="202">
      <c r="A202" s="17" t="inlineStr">
        <is>
          <t>红油抄手</t>
        </is>
      </c>
      <c r="B202" s="17" t="inlineStr">
        <is>
          <t>小吃</t>
        </is>
      </c>
      <c r="C202" s="18" t="inlineStr">
        <is>
          <t>—</t>
        </is>
      </c>
      <c r="D202" s="19" t="n">
        <v>628</v>
      </c>
      <c r="E202" s="19" t="n">
        <v>150</v>
      </c>
      <c r="F202" s="19" t="n">
        <v>200</v>
      </c>
      <c r="G202" s="19">
        <f>ROUND(D202*F202/100,0)</f>
        <v/>
      </c>
      <c r="H202" s="19">
        <f>ROUND(E202*F202/100,0)</f>
        <v/>
      </c>
      <c r="I202" s="17" t="inlineStr">
        <is>
          <t>碳水化合物(18g/100g)、蛋白质(8g)</t>
        </is>
      </c>
      <c r="J202" s="17" t="inlineStr">
        <is>
          <t>脂肪(7g)、辣椒素</t>
        </is>
      </c>
      <c r="K202" s="17" t="inlineStr">
        <is>
          <t>四川风味，红油热量高</t>
        </is>
      </c>
      <c r="L202" s="17" t="inlineStr">
        <is>
          <t>面粉、猪腿肉（瘦）、辣椒油</t>
        </is>
      </c>
    </row>
    <row r="203">
      <c r="A203" s="17" t="inlineStr">
        <is>
          <t>炸臭豆腐（长沙）</t>
        </is>
      </c>
      <c r="B203" s="17" t="inlineStr">
        <is>
          <t>小吃</t>
        </is>
      </c>
      <c r="C203" s="18" t="inlineStr">
        <is>
          <t>—</t>
        </is>
      </c>
      <c r="D203" s="19" t="n">
        <v>920</v>
      </c>
      <c r="E203" s="19" t="n">
        <v>220</v>
      </c>
      <c r="F203" s="19" t="n">
        <v>100</v>
      </c>
      <c r="G203" s="19">
        <f>ROUND(D203*F203/100,0)</f>
        <v/>
      </c>
      <c r="H203" s="19">
        <f>ROUND(E203*F203/100,0)</f>
        <v/>
      </c>
      <c r="I203" s="17" t="inlineStr">
        <is>
          <t>蛋白质(10g/100g)、脂肪(15g)</t>
        </is>
      </c>
      <c r="J203" s="17" t="inlineStr">
        <is>
          <t>钙、钠高</t>
        </is>
      </c>
      <c r="K203" s="17" t="inlineStr">
        <is>
          <t>外酥内嫩，油炸高热量</t>
        </is>
      </c>
      <c r="L203" s="17" t="inlineStr"/>
    </row>
    <row r="204">
      <c r="A204" s="17" t="inlineStr">
        <is>
          <t>锅盔（素）</t>
        </is>
      </c>
      <c r="B204" s="17" t="inlineStr">
        <is>
          <t>小吃</t>
        </is>
      </c>
      <c r="C204" s="18" t="inlineStr">
        <is>
          <t>—</t>
        </is>
      </c>
      <c r="D204" s="19" t="n">
        <v>1130</v>
      </c>
      <c r="E204" s="19" t="n">
        <v>270</v>
      </c>
      <c r="F204" s="19" t="n">
        <v>100</v>
      </c>
      <c r="G204" s="19">
        <f>ROUND(D204*F204/100,0)</f>
        <v/>
      </c>
      <c r="H204" s="19">
        <f>ROUND(E204*F204/100,0)</f>
        <v/>
      </c>
      <c r="I204" s="17" t="inlineStr">
        <is>
          <t>碳水化合物(55g/100g)、脂肪(8g)</t>
        </is>
      </c>
      <c r="J204" s="17" t="inlineStr">
        <is>
          <t>少量蛋白质</t>
        </is>
      </c>
      <c r="K204" s="17" t="inlineStr">
        <is>
          <t>陕西厚烤饼</t>
        </is>
      </c>
      <c r="L204" s="17" t="inlineStr"/>
    </row>
    <row r="205">
      <c r="A205" s="17" t="inlineStr">
        <is>
          <t>梅干菜饼</t>
        </is>
      </c>
      <c r="B205" s="17" t="inlineStr">
        <is>
          <t>小吃</t>
        </is>
      </c>
      <c r="C205" s="18" t="inlineStr">
        <is>
          <t>—</t>
        </is>
      </c>
      <c r="D205" s="19" t="n">
        <v>1046</v>
      </c>
      <c r="E205" s="19" t="n">
        <v>250</v>
      </c>
      <c r="F205" s="19" t="n">
        <v>100</v>
      </c>
      <c r="G205" s="19">
        <f>ROUND(D205*F205/100,0)</f>
        <v/>
      </c>
      <c r="H205" s="19">
        <f>ROUND(E205*F205/100,0)</f>
        <v/>
      </c>
      <c r="I205" s="17" t="inlineStr">
        <is>
          <t>碳水化合物(40g/100g)、脂肪(12g)</t>
        </is>
      </c>
      <c r="J205" s="17" t="inlineStr">
        <is>
          <t>膳食纤维(梅菜)、钠高</t>
        </is>
      </c>
      <c r="K205" s="17" t="inlineStr">
        <is>
          <t>酥皮饼，热量较高</t>
        </is>
      </c>
      <c r="L205" s="17" t="inlineStr"/>
    </row>
    <row r="206">
      <c r="A206" s="17" t="inlineStr">
        <is>
          <t>炸薯条（手工）</t>
        </is>
      </c>
      <c r="B206" s="17" t="inlineStr">
        <is>
          <t>小吃</t>
        </is>
      </c>
      <c r="C206" s="18" t="inlineStr">
        <is>
          <t>—</t>
        </is>
      </c>
      <c r="D206" s="19" t="n">
        <v>1255</v>
      </c>
      <c r="E206" s="19" t="n">
        <v>300</v>
      </c>
      <c r="F206" s="19" t="n">
        <v>100</v>
      </c>
      <c r="G206" s="19">
        <f>ROUND(D206*F206/100,0)</f>
        <v/>
      </c>
      <c r="H206" s="19">
        <f>ROUND(E206*F206/100,0)</f>
        <v/>
      </c>
      <c r="I206" s="17" t="inlineStr">
        <is>
          <t>碳水化合物(39g/100g)、脂肪(15g)</t>
        </is>
      </c>
      <c r="J206" s="17" t="inlineStr">
        <is>
          <t>钾(保留部分)、钠高</t>
        </is>
      </c>
      <c r="K206" s="17" t="inlineStr">
        <is>
          <t>油炸，常见路边摊</t>
        </is>
      </c>
      <c r="L206" s="17" t="inlineStr"/>
    </row>
    <row r="207">
      <c r="A207" s="17" t="inlineStr">
        <is>
          <t>炸年糕</t>
        </is>
      </c>
      <c r="B207" s="17" t="inlineStr">
        <is>
          <t>小吃</t>
        </is>
      </c>
      <c r="C207" s="18" t="inlineStr">
        <is>
          <t>—</t>
        </is>
      </c>
      <c r="D207" s="19" t="n">
        <v>1380</v>
      </c>
      <c r="E207" s="19" t="n">
        <v>330</v>
      </c>
      <c r="F207" s="19" t="n">
        <v>100</v>
      </c>
      <c r="G207" s="19">
        <f>ROUND(D207*F207/100,0)</f>
        <v/>
      </c>
      <c r="H207" s="19">
        <f>ROUND(E207*F207/100,0)</f>
        <v/>
      </c>
      <c r="I207" s="17" t="inlineStr">
        <is>
          <t>碳水化合物(70g/100g)、脂肪(8g)</t>
        </is>
      </c>
      <c r="J207" s="17" t="inlineStr">
        <is>
          <t>少量矿物质</t>
        </is>
      </c>
      <c r="K207" s="17" t="inlineStr">
        <is>
          <t>糯米高碳水+油炸</t>
        </is>
      </c>
      <c r="L207" s="17" t="inlineStr"/>
    </row>
    <row r="208">
      <c r="A208" s="17" t="inlineStr">
        <is>
          <t>蚵仔煎</t>
        </is>
      </c>
      <c r="B208" s="17" t="inlineStr">
        <is>
          <t>小吃</t>
        </is>
      </c>
      <c r="C208" s="18" t="inlineStr">
        <is>
          <t>—</t>
        </is>
      </c>
      <c r="D208" s="19" t="n">
        <v>753</v>
      </c>
      <c r="E208" s="19" t="n">
        <v>180</v>
      </c>
      <c r="F208" s="19" t="n">
        <v>150</v>
      </c>
      <c r="G208" s="19">
        <f>ROUND(D208*F208/100,0)</f>
        <v/>
      </c>
      <c r="H208" s="19">
        <f>ROUND(E208*F208/100,0)</f>
        <v/>
      </c>
      <c r="I208" s="17" t="inlineStr">
        <is>
          <t>蛋白质(9g/100g)、碳水化合物(18g)</t>
        </is>
      </c>
      <c r="J208" s="17" t="inlineStr">
        <is>
          <t>锌、牛磺酸（蚵仔）</t>
        </is>
      </c>
      <c r="K208" s="17" t="inlineStr">
        <is>
          <t>台湾小吃，淀粉较多</t>
        </is>
      </c>
      <c r="L208" s="17" t="inlineStr"/>
    </row>
    <row r="209">
      <c r="A209" s="17" t="inlineStr">
        <is>
          <t>章鱼小丸子</t>
        </is>
      </c>
      <c r="B209" s="17" t="inlineStr">
        <is>
          <t>小吃</t>
        </is>
      </c>
      <c r="C209" s="18" t="inlineStr">
        <is>
          <t>—</t>
        </is>
      </c>
      <c r="D209" s="19" t="n">
        <v>753</v>
      </c>
      <c r="E209" s="19" t="n">
        <v>180</v>
      </c>
      <c r="F209" s="19" t="n">
        <v>100</v>
      </c>
      <c r="G209" s="19">
        <f>ROUND(D209*F209/100,0)</f>
        <v/>
      </c>
      <c r="H209" s="19">
        <f>ROUND(E209*F209/100,0)</f>
        <v/>
      </c>
      <c r="I209" s="17" t="inlineStr">
        <is>
          <t>碳水化合物(22g/100g)、蛋白质(8g)</t>
        </is>
      </c>
      <c r="J209" s="17" t="inlineStr">
        <is>
          <t>脂肪(8g)、钠高</t>
        </is>
      </c>
      <c r="K209" s="17" t="inlineStr">
        <is>
          <t>日式风格，国内常见</t>
        </is>
      </c>
      <c r="L209" s="17" t="inlineStr"/>
    </row>
    <row r="210">
      <c r="A210" s="17" t="inlineStr">
        <is>
          <t>炸鸡柳</t>
        </is>
      </c>
      <c r="B210" s="17" t="inlineStr">
        <is>
          <t>小吃</t>
        </is>
      </c>
      <c r="C210" s="18" t="inlineStr">
        <is>
          <t>—</t>
        </is>
      </c>
      <c r="D210" s="19" t="n">
        <v>1172</v>
      </c>
      <c r="E210" s="19" t="n">
        <v>280</v>
      </c>
      <c r="F210" s="19" t="n">
        <v>100</v>
      </c>
      <c r="G210" s="19">
        <f>ROUND(D210*F210/100,0)</f>
        <v/>
      </c>
      <c r="H210" s="19">
        <f>ROUND(E210*F210/100,0)</f>
        <v/>
      </c>
      <c r="I210" s="17" t="inlineStr">
        <is>
          <t>蛋白质(16g/100g)、脂肪(16g)</t>
        </is>
      </c>
      <c r="J210" s="17" t="inlineStr">
        <is>
          <t>碳水化合物(20g)、钠高</t>
        </is>
      </c>
      <c r="K210" s="17" t="inlineStr">
        <is>
          <t>裹粉炸制</t>
        </is>
      </c>
      <c r="L210" s="17" t="inlineStr"/>
    </row>
    <row r="211">
      <c r="A211" s="17" t="inlineStr">
        <is>
          <t>麻辣鸭脖</t>
        </is>
      </c>
      <c r="B211" s="17" t="inlineStr">
        <is>
          <t>小吃</t>
        </is>
      </c>
      <c r="C211" s="18" t="inlineStr">
        <is>
          <t>—</t>
        </is>
      </c>
      <c r="D211" s="19" t="n">
        <v>836</v>
      </c>
      <c r="E211" s="19" t="n">
        <v>200</v>
      </c>
      <c r="F211" s="19" t="n">
        <v>100</v>
      </c>
      <c r="G211" s="19">
        <f>ROUND(D211*F211/100,0)</f>
        <v/>
      </c>
      <c r="H211" s="19">
        <f>ROUND(E211*F211/100,0)</f>
        <v/>
      </c>
      <c r="I211" s="17" t="inlineStr">
        <is>
          <t>蛋白质(20g/100g)、脂肪(12g)</t>
        </is>
      </c>
      <c r="J211" s="17" t="inlineStr">
        <is>
          <t>辣椒素、钠极高</t>
        </is>
      </c>
      <c r="K211" s="17" t="inlineStr">
        <is>
          <t>实际可食肉少，骨头占比大</t>
        </is>
      </c>
      <c r="L211" s="17" t="inlineStr">
        <is>
          <t>鸭肉（去皮）、辣椒油</t>
        </is>
      </c>
    </row>
    <row r="212">
      <c r="A212" s="17" t="inlineStr">
        <is>
          <t>鸭血粉丝汤</t>
        </is>
      </c>
      <c r="B212" s="17" t="inlineStr">
        <is>
          <t>小吃</t>
        </is>
      </c>
      <c r="C212" s="18" t="inlineStr">
        <is>
          <t>—</t>
        </is>
      </c>
      <c r="D212" s="19" t="n">
        <v>418</v>
      </c>
      <c r="E212" s="19" t="n">
        <v>100</v>
      </c>
      <c r="F212" s="19" t="n">
        <v>400</v>
      </c>
      <c r="G212" s="19">
        <f>ROUND(D212*F212/100,0)</f>
        <v/>
      </c>
      <c r="H212" s="19">
        <f>ROUND(E212*F212/100,0)</f>
        <v/>
      </c>
      <c r="I212" s="17" t="inlineStr">
        <is>
          <t>蛋白质(6g/100g)、铁(高)</t>
        </is>
      </c>
      <c r="J212" s="17" t="inlineStr">
        <is>
          <t>碳水化合物(10g)、叶酸</t>
        </is>
      </c>
      <c r="K212" s="17" t="inlineStr">
        <is>
          <t>南京特色，热量适中</t>
        </is>
      </c>
      <c r="L212" s="17" t="inlineStr">
        <is>
          <t>猪血、粉条</t>
        </is>
      </c>
    </row>
    <row r="213">
      <c r="A213" s="20" t="inlineStr">
        <is>
          <t>板栗</t>
        </is>
      </c>
      <c r="B213" s="20" t="inlineStr">
        <is>
          <t>零食</t>
        </is>
      </c>
      <c r="C213" s="21" t="inlineStr">
        <is>
          <t>—</t>
        </is>
      </c>
      <c r="D213" s="22" t="n">
        <v>770</v>
      </c>
      <c r="E213" s="22" t="n">
        <v>184</v>
      </c>
      <c r="F213" s="22" t="n">
        <v>50</v>
      </c>
      <c r="G213" s="22">
        <f>ROUND(D213*F213/100,0)</f>
        <v/>
      </c>
      <c r="H213" s="22">
        <f>ROUND(E213*F213/100,0)</f>
        <v/>
      </c>
      <c r="I213" s="20" t="inlineStr">
        <is>
          <t>碳水化合物(40g/100g)、膳食纤维(1.2g)</t>
        </is>
      </c>
      <c r="J213" s="20" t="inlineStr">
        <is>
          <t>维生素C、钾、B族维生素</t>
        </is>
      </c>
      <c r="K213" s="20" t="inlineStr">
        <is>
          <t>淀粉类坚果，热量低于油脂坚果</t>
        </is>
      </c>
      <c r="L213" s="20" t="inlineStr"/>
    </row>
    <row r="214">
      <c r="A214" s="20" t="inlineStr">
        <is>
          <t>开心果</t>
        </is>
      </c>
      <c r="B214" s="20" t="inlineStr">
        <is>
          <t>零食</t>
        </is>
      </c>
      <c r="C214" s="21" t="inlineStr">
        <is>
          <t>—</t>
        </is>
      </c>
      <c r="D214" s="22" t="n">
        <v>2399</v>
      </c>
      <c r="E214" s="22" t="n">
        <v>573</v>
      </c>
      <c r="F214" s="22" t="n">
        <v>20</v>
      </c>
      <c r="G214" s="22">
        <f>ROUND(D214*F214/100,0)</f>
        <v/>
      </c>
      <c r="H214" s="22">
        <f>ROUND(E214*F214/100,0)</f>
        <v/>
      </c>
      <c r="I214" s="20" t="inlineStr">
        <is>
          <t>脂肪(46g/100g)、蛋白质(21g)</t>
        </is>
      </c>
      <c r="J214" s="20" t="inlineStr">
        <is>
          <t>维生素B6、铜、锰</t>
        </is>
      </c>
      <c r="K214" s="20" t="inlineStr">
        <is>
          <t>高热量，适量食用</t>
        </is>
      </c>
      <c r="L214" s="20" t="inlineStr"/>
    </row>
    <row r="215">
      <c r="A215" s="20" t="inlineStr">
        <is>
          <t>夏威夷果</t>
        </is>
      </c>
      <c r="B215" s="20" t="inlineStr">
        <is>
          <t>零食</t>
        </is>
      </c>
      <c r="C215" s="21" t="inlineStr">
        <is>
          <t>—</t>
        </is>
      </c>
      <c r="D215" s="22" t="n">
        <v>2879</v>
      </c>
      <c r="E215" s="22" t="n">
        <v>688</v>
      </c>
      <c r="F215" s="22" t="n">
        <v>20</v>
      </c>
      <c r="G215" s="22">
        <f>ROUND(D215*F215/100,0)</f>
        <v/>
      </c>
      <c r="H215" s="22">
        <f>ROUND(E215*F215/100,0)</f>
        <v/>
      </c>
      <c r="I215" s="20" t="inlineStr">
        <is>
          <t>脂肪(76g/100g)、蛋白质(8g)</t>
        </is>
      </c>
      <c r="J215" s="20" t="inlineStr">
        <is>
          <t>单不饱和脂肪酸丰富</t>
        </is>
      </c>
      <c r="K215" s="20" t="inlineStr">
        <is>
          <t>热量最高的坚果之一</t>
        </is>
      </c>
      <c r="L215" s="20" t="inlineStr"/>
    </row>
    <row r="216">
      <c r="A216" s="20" t="inlineStr">
        <is>
          <t>海苔（烤）</t>
        </is>
      </c>
      <c r="B216" s="20" t="inlineStr">
        <is>
          <t>零食</t>
        </is>
      </c>
      <c r="C216" s="21" t="inlineStr">
        <is>
          <t>—</t>
        </is>
      </c>
      <c r="D216" s="22" t="n">
        <v>920</v>
      </c>
      <c r="E216" s="22" t="n">
        <v>220</v>
      </c>
      <c r="F216" s="22" t="n">
        <v>10</v>
      </c>
      <c r="G216" s="22">
        <f>ROUND(D216*F216/100,0)</f>
        <v/>
      </c>
      <c r="H216" s="22">
        <f>ROUND(E216*F216/100,0)</f>
        <v/>
      </c>
      <c r="I216" s="20" t="inlineStr">
        <is>
          <t>蛋白质(30g/100g)、碘(极高)</t>
        </is>
      </c>
      <c r="J216" s="20" t="inlineStr">
        <is>
          <t>维生素K、铁</t>
        </is>
      </c>
      <c r="K216" s="20" t="inlineStr">
        <is>
          <t>少量即可，碘摄入需注意</t>
        </is>
      </c>
      <c r="L216" s="20" t="inlineStr"/>
    </row>
    <row r="217">
      <c r="A217" s="20" t="inlineStr">
        <is>
          <t>鱼皮花生</t>
        </is>
      </c>
      <c r="B217" s="20" t="inlineStr">
        <is>
          <t>零食</t>
        </is>
      </c>
      <c r="C217" s="21" t="inlineStr">
        <is>
          <t>—</t>
        </is>
      </c>
      <c r="D217" s="22" t="n">
        <v>2092</v>
      </c>
      <c r="E217" s="22" t="n">
        <v>500</v>
      </c>
      <c r="F217" s="22" t="n">
        <v>30</v>
      </c>
      <c r="G217" s="22">
        <f>ROUND(D217*F217/100,0)</f>
        <v/>
      </c>
      <c r="H217" s="22">
        <f>ROUND(E217*F217/100,0)</f>
        <v/>
      </c>
      <c r="I217" s="20" t="inlineStr">
        <is>
          <t>碳水化合物(55g/100g)、脂肪(25g)、蛋白质(16g)</t>
        </is>
      </c>
      <c r="J217" s="20" t="inlineStr">
        <is>
          <t>钠较高</t>
        </is>
      </c>
      <c r="K217" s="20" t="inlineStr">
        <is>
          <t>油炸坚果类</t>
        </is>
      </c>
      <c r="L217" s="20" t="inlineStr"/>
    </row>
    <row r="218">
      <c r="A218" s="20" t="inlineStr">
        <is>
          <t>奥利奥</t>
        </is>
      </c>
      <c r="B218" s="20" t="inlineStr">
        <is>
          <t>零食</t>
        </is>
      </c>
      <c r="C218" s="21" t="inlineStr">
        <is>
          <t>—</t>
        </is>
      </c>
      <c r="D218" s="22" t="n">
        <v>2050</v>
      </c>
      <c r="E218" s="22" t="n">
        <v>490</v>
      </c>
      <c r="F218" s="22" t="n">
        <v>25</v>
      </c>
      <c r="G218" s="22">
        <f>ROUND(D218*F218/100,0)</f>
        <v/>
      </c>
      <c r="H218" s="22">
        <f>ROUND(E218*F218/100,0)</f>
        <v/>
      </c>
      <c r="I218" s="20" t="inlineStr">
        <is>
          <t>碳水化合物(68g/100g)、脂肪(21g)、糖(28g)</t>
        </is>
      </c>
      <c r="J218" s="20" t="inlineStr">
        <is>
          <t>少量铁、B族维生素</t>
        </is>
      </c>
      <c r="K218" s="20" t="inlineStr">
        <is>
          <t>高糖高脂，3片约122kcal</t>
        </is>
      </c>
      <c r="L218" s="20" t="inlineStr"/>
    </row>
    <row r="219">
      <c r="A219" s="20" t="inlineStr">
        <is>
          <t>旺旺雪饼</t>
        </is>
      </c>
      <c r="B219" s="20" t="inlineStr">
        <is>
          <t>零食</t>
        </is>
      </c>
      <c r="C219" s="21" t="inlineStr">
        <is>
          <t>—</t>
        </is>
      </c>
      <c r="D219" s="22" t="n">
        <v>1695</v>
      </c>
      <c r="E219" s="22" t="n">
        <v>405</v>
      </c>
      <c r="F219" s="22" t="n">
        <v>30</v>
      </c>
      <c r="G219" s="22">
        <f>ROUND(D219*F219/100,0)</f>
        <v/>
      </c>
      <c r="H219" s="22">
        <f>ROUND(E219*F219/100,0)</f>
        <v/>
      </c>
      <c r="I219" s="20" t="inlineStr">
        <is>
          <t>碳水化合物(78g/100g)、脂肪(8g)</t>
        </is>
      </c>
      <c r="J219" s="20" t="inlineStr">
        <is>
          <t>钠中等</t>
        </is>
      </c>
      <c r="K219" s="20" t="inlineStr">
        <is>
          <t>膨化米饼</t>
        </is>
      </c>
      <c r="L219" s="20" t="inlineStr"/>
    </row>
    <row r="220">
      <c r="A220" s="20" t="inlineStr">
        <is>
          <t>糖（水果糖）</t>
        </is>
      </c>
      <c r="B220" s="20" t="inlineStr">
        <is>
          <t>零食</t>
        </is>
      </c>
      <c r="C220" s="21" t="inlineStr">
        <is>
          <t>—</t>
        </is>
      </c>
      <c r="D220" s="22" t="n">
        <v>1590</v>
      </c>
      <c r="E220" s="22" t="n">
        <v>380</v>
      </c>
      <c r="F220" s="22" t="n">
        <v>10</v>
      </c>
      <c r="G220" s="22">
        <f>ROUND(D220*F220/100,0)</f>
        <v/>
      </c>
      <c r="H220" s="22">
        <f>ROUND(E220*F220/100,0)</f>
        <v/>
      </c>
      <c r="I220" s="20" t="inlineStr">
        <is>
          <t>碳水化合物(97g/100g)、糖(95g)</t>
        </is>
      </c>
      <c r="J220" s="20" t="inlineStr">
        <is>
          <t>几乎无其他营养</t>
        </is>
      </c>
      <c r="K220" s="20" t="inlineStr">
        <is>
          <t>纯糖，热量密度极高</t>
        </is>
      </c>
      <c r="L220" s="20" t="inlineStr"/>
    </row>
    <row r="221">
      <c r="A221" s="20" t="inlineStr">
        <is>
          <t>巧克力（牛奶）</t>
        </is>
      </c>
      <c r="B221" s="20" t="inlineStr">
        <is>
          <t>零食</t>
        </is>
      </c>
      <c r="C221" s="21" t="inlineStr">
        <is>
          <t>—</t>
        </is>
      </c>
      <c r="D221" s="22" t="n">
        <v>2301</v>
      </c>
      <c r="E221" s="22" t="n">
        <v>550</v>
      </c>
      <c r="F221" s="22" t="n">
        <v>30</v>
      </c>
      <c r="G221" s="22">
        <f>ROUND(D221*F221/100,0)</f>
        <v/>
      </c>
      <c r="H221" s="22">
        <f>ROUND(E221*F221/100,0)</f>
        <v/>
      </c>
      <c r="I221" s="20" t="inlineStr">
        <is>
          <t>碳水化合物(54g/100g)、脂肪(33g)、糖(48g)</t>
        </is>
      </c>
      <c r="J221" s="20" t="inlineStr">
        <is>
          <t>钙、镁、可可碱</t>
        </is>
      </c>
      <c r="K221" s="20" t="inlineStr">
        <is>
          <t>高热量，建议选纯度70%+黑巧</t>
        </is>
      </c>
      <c r="L221" s="20" t="inlineStr"/>
    </row>
    <row r="222">
      <c r="A222" s="20" t="inlineStr">
        <is>
          <t>黑巧克力（70%）</t>
        </is>
      </c>
      <c r="B222" s="20" t="inlineStr">
        <is>
          <t>零食</t>
        </is>
      </c>
      <c r="C222" s="21" t="inlineStr">
        <is>
          <t>—</t>
        </is>
      </c>
      <c r="D222" s="22" t="n">
        <v>2218</v>
      </c>
      <c r="E222" s="22" t="n">
        <v>530</v>
      </c>
      <c r="F222" s="22" t="n">
        <v>20</v>
      </c>
      <c r="G222" s="22">
        <f>ROUND(D222*F222/100,0)</f>
        <v/>
      </c>
      <c r="H222" s="22">
        <f>ROUND(E222*F222/100,0)</f>
        <v/>
      </c>
      <c r="I222" s="20" t="inlineStr">
        <is>
          <t>脂肪(42g/100g)、碳水化合物(45g)、糖(24g)</t>
        </is>
      </c>
      <c r="J222" s="20" t="inlineStr">
        <is>
          <t>镁、铁、可可多酚</t>
        </is>
      </c>
      <c r="K222" s="20" t="inlineStr">
        <is>
          <t>抗氧化好于牛奶巧克力</t>
        </is>
      </c>
      <c r="L222" s="20" t="inlineStr"/>
    </row>
    <row r="223">
      <c r="A223" s="23" t="inlineStr">
        <is>
          <t>芋圆</t>
        </is>
      </c>
      <c r="B223" s="23" t="inlineStr">
        <is>
          <t>甜点</t>
        </is>
      </c>
      <c r="C223" s="24" t="inlineStr">
        <is>
          <t>—</t>
        </is>
      </c>
      <c r="D223" s="25" t="n">
        <v>795</v>
      </c>
      <c r="E223" s="25" t="n">
        <v>190</v>
      </c>
      <c r="F223" s="25" t="n">
        <v>150</v>
      </c>
      <c r="G223" s="25">
        <f>ROUND(D223*F223/100,0)</f>
        <v/>
      </c>
      <c r="H223" s="25">
        <f>ROUND(E223*F223/100,0)</f>
        <v/>
      </c>
      <c r="I223" s="23" t="inlineStr">
        <is>
          <t>碳水化合物(44g/100g)、糖(8g)</t>
        </is>
      </c>
      <c r="J223" s="23" t="inlineStr">
        <is>
          <t>少量膳食纤维</t>
        </is>
      </c>
      <c r="K223" s="23" t="inlineStr">
        <is>
          <t>木薯淀粉/芋头制，高碳水</t>
        </is>
      </c>
      <c r="L223" s="23" t="inlineStr"/>
    </row>
    <row r="224">
      <c r="A224" s="23" t="inlineStr">
        <is>
          <t>抹茶蛋糕</t>
        </is>
      </c>
      <c r="B224" s="23" t="inlineStr">
        <is>
          <t>甜点</t>
        </is>
      </c>
      <c r="C224" s="24" t="inlineStr">
        <is>
          <t>—</t>
        </is>
      </c>
      <c r="D224" s="25" t="n">
        <v>1380</v>
      </c>
      <c r="E224" s="25" t="n">
        <v>330</v>
      </c>
      <c r="F224" s="25" t="n">
        <v>80</v>
      </c>
      <c r="G224" s="25">
        <f>ROUND(D224*F224/100,0)</f>
        <v/>
      </c>
      <c r="H224" s="25">
        <f>ROUND(E224*F224/100,0)</f>
        <v/>
      </c>
      <c r="I224" s="23" t="inlineStr">
        <is>
          <t>碳水化合物(45g/100g)、脂肪(16g)、糖(30g)</t>
        </is>
      </c>
      <c r="J224" s="23" t="inlineStr">
        <is>
          <t>少量茶多酚、钙</t>
        </is>
      </c>
      <c r="K224" s="23" t="inlineStr">
        <is>
          <t>烘焙甜品，高热量</t>
        </is>
      </c>
      <c r="L224" s="23" t="inlineStr"/>
    </row>
    <row r="225">
      <c r="A225" s="23" t="inlineStr">
        <is>
          <t>蛋挞</t>
        </is>
      </c>
      <c r="B225" s="23" t="inlineStr">
        <is>
          <t>甜点</t>
        </is>
      </c>
      <c r="C225" s="24" t="inlineStr">
        <is>
          <t>—</t>
        </is>
      </c>
      <c r="D225" s="25" t="n">
        <v>1339</v>
      </c>
      <c r="E225" s="25" t="n">
        <v>320</v>
      </c>
      <c r="F225" s="25" t="n">
        <v>80</v>
      </c>
      <c r="G225" s="25">
        <f>ROUND(D225*F225/100,0)</f>
        <v/>
      </c>
      <c r="H225" s="25">
        <f>ROUND(E225*F225/100,0)</f>
        <v/>
      </c>
      <c r="I225" s="23" t="inlineStr">
        <is>
          <t>碳水化合物(34g/100g)、脂肪(19g)、糖(15g)</t>
        </is>
      </c>
      <c r="J225" s="23" t="inlineStr">
        <is>
          <t>蛋白质(7g)、钙</t>
        </is>
      </c>
      <c r="K225" s="23" t="inlineStr">
        <is>
          <t>酥皮蛋挞热量高</t>
        </is>
      </c>
      <c r="L225" s="23" t="inlineStr"/>
    </row>
    <row r="226">
      <c r="A226" s="23" t="inlineStr">
        <is>
          <t>千层蛋糕</t>
        </is>
      </c>
      <c r="B226" s="23" t="inlineStr">
        <is>
          <t>甜点</t>
        </is>
      </c>
      <c r="C226" s="24" t="inlineStr">
        <is>
          <t>—</t>
        </is>
      </c>
      <c r="D226" s="25" t="n">
        <v>1590</v>
      </c>
      <c r="E226" s="25" t="n">
        <v>380</v>
      </c>
      <c r="F226" s="25" t="n">
        <v>80</v>
      </c>
      <c r="G226" s="25">
        <f>ROUND(D226*F226/100,0)</f>
        <v/>
      </c>
      <c r="H226" s="25">
        <f>ROUND(E226*F226/100,0)</f>
        <v/>
      </c>
      <c r="I226" s="23" t="inlineStr">
        <is>
          <t>脂肪(24g/100g)、碳水化合物(44g)、糖(28g)</t>
        </is>
      </c>
      <c r="J226" s="23" t="inlineStr">
        <is>
          <t>蛋白质(6g)、钙</t>
        </is>
      </c>
      <c r="K226" s="23" t="inlineStr">
        <is>
          <t>奶油层多，热量高</t>
        </is>
      </c>
      <c r="L226" s="23" t="inlineStr"/>
    </row>
    <row r="227">
      <c r="A227" s="23" t="inlineStr">
        <is>
          <t>布丁（鸡蛋）</t>
        </is>
      </c>
      <c r="B227" s="23" t="inlineStr">
        <is>
          <t>甜点</t>
        </is>
      </c>
      <c r="C227" s="24" t="inlineStr">
        <is>
          <t>—</t>
        </is>
      </c>
      <c r="D227" s="25" t="n">
        <v>544</v>
      </c>
      <c r="E227" s="25" t="n">
        <v>130</v>
      </c>
      <c r="F227" s="25" t="n">
        <v>150</v>
      </c>
      <c r="G227" s="25">
        <f>ROUND(D227*F227/100,0)</f>
        <v/>
      </c>
      <c r="H227" s="25">
        <f>ROUND(E227*F227/100,0)</f>
        <v/>
      </c>
      <c r="I227" s="23" t="inlineStr">
        <is>
          <t>蛋白质(4g/100g)、碳水化合物(20g)、糖(18g)</t>
        </is>
      </c>
      <c r="J227" s="23" t="inlineStr">
        <is>
          <t>钙、维生素D</t>
        </is>
      </c>
      <c r="K227" s="23" t="inlineStr">
        <is>
          <t>热量适中</t>
        </is>
      </c>
      <c r="L227" s="23" t="inlineStr"/>
    </row>
    <row r="228">
      <c r="A228" s="23" t="inlineStr">
        <is>
          <t>果冻</t>
        </is>
      </c>
      <c r="B228" s="23" t="inlineStr">
        <is>
          <t>甜点</t>
        </is>
      </c>
      <c r="C228" s="24" t="inlineStr">
        <is>
          <t>—</t>
        </is>
      </c>
      <c r="D228" s="25" t="n">
        <v>251</v>
      </c>
      <c r="E228" s="25" t="n">
        <v>60</v>
      </c>
      <c r="F228" s="25" t="n">
        <v>100</v>
      </c>
      <c r="G228" s="25">
        <f>ROUND(D228*F228/100,0)</f>
        <v/>
      </c>
      <c r="H228" s="25">
        <f>ROUND(E228*F228/100,0)</f>
        <v/>
      </c>
      <c r="I228" s="23" t="inlineStr">
        <is>
          <t>碳水化合物(15g/100g)、糖(12g)</t>
        </is>
      </c>
      <c r="J228" s="23" t="inlineStr">
        <is>
          <t>少量胶质</t>
        </is>
      </c>
      <c r="K228" s="23" t="inlineStr">
        <is>
          <t>低热量，营养价值低</t>
        </is>
      </c>
      <c r="L228" s="23" t="inlineStr"/>
    </row>
    <row r="229">
      <c r="A229" s="23" t="inlineStr">
        <is>
          <t>凉糕（四川）</t>
        </is>
      </c>
      <c r="B229" s="23" t="inlineStr">
        <is>
          <t>甜点</t>
        </is>
      </c>
      <c r="C229" s="24" t="inlineStr">
        <is>
          <t>—</t>
        </is>
      </c>
      <c r="D229" s="25" t="n">
        <v>543</v>
      </c>
      <c r="E229" s="25" t="n">
        <v>130</v>
      </c>
      <c r="F229" s="25" t="n">
        <v>150</v>
      </c>
      <c r="G229" s="25">
        <f>ROUND(D229*F229/100,0)</f>
        <v/>
      </c>
      <c r="H229" s="25">
        <f>ROUND(E229*F229/100,0)</f>
        <v/>
      </c>
      <c r="I229" s="23" t="inlineStr">
        <is>
          <t>碳水化合物(32g/100g)、糖(10g)</t>
        </is>
      </c>
      <c r="J229" s="23" t="inlineStr">
        <is>
          <t>少量矿物质</t>
        </is>
      </c>
      <c r="K229" s="23" t="inlineStr">
        <is>
          <t>大米制，夏季甜品</t>
        </is>
      </c>
      <c r="L229" s="23" t="inlineStr"/>
    </row>
    <row r="230">
      <c r="A230" s="23" t="inlineStr">
        <is>
          <t>豆沙包</t>
        </is>
      </c>
      <c r="B230" s="23" t="inlineStr">
        <is>
          <t>甜点</t>
        </is>
      </c>
      <c r="C230" s="24" t="inlineStr">
        <is>
          <t>—</t>
        </is>
      </c>
      <c r="D230" s="25" t="n">
        <v>879</v>
      </c>
      <c r="E230" s="25" t="n">
        <v>210</v>
      </c>
      <c r="F230" s="25" t="n">
        <v>80</v>
      </c>
      <c r="G230" s="25">
        <f>ROUND(D230*F230/100,0)</f>
        <v/>
      </c>
      <c r="H230" s="25">
        <f>ROUND(E230*F230/100,0)</f>
        <v/>
      </c>
      <c r="I230" s="23" t="inlineStr">
        <is>
          <t>碳水化合物(44g/100g)、糖(18g)、蛋白质(6g)</t>
        </is>
      </c>
      <c r="J230" s="23" t="inlineStr">
        <is>
          <t>膳食纤维(红豆)、铁</t>
        </is>
      </c>
      <c r="K230" s="23" t="inlineStr">
        <is>
          <t>偏甜，含糖量高</t>
        </is>
      </c>
      <c r="L230" s="23" t="inlineStr"/>
    </row>
    <row r="231">
      <c r="A231" s="23" t="inlineStr">
        <is>
          <t>奶黄包</t>
        </is>
      </c>
      <c r="B231" s="23" t="inlineStr">
        <is>
          <t>甜点</t>
        </is>
      </c>
      <c r="C231" s="24" t="inlineStr">
        <is>
          <t>—</t>
        </is>
      </c>
      <c r="D231" s="25" t="n">
        <v>920</v>
      </c>
      <c r="E231" s="25" t="n">
        <v>220</v>
      </c>
      <c r="F231" s="25" t="n">
        <v>80</v>
      </c>
      <c r="G231" s="25">
        <f>ROUND(D231*F231/100,0)</f>
        <v/>
      </c>
      <c r="H231" s="25">
        <f>ROUND(E231*F231/100,0)</f>
        <v/>
      </c>
      <c r="I231" s="23" t="inlineStr">
        <is>
          <t>碳水化合物(40g/100g)、脂肪(9g)、糖(16g)</t>
        </is>
      </c>
      <c r="J231" s="23" t="inlineStr">
        <is>
          <t>蛋白质(7g)、钙</t>
        </is>
      </c>
      <c r="K231" s="23" t="inlineStr">
        <is>
          <t>广式点心</t>
        </is>
      </c>
      <c r="L231" s="23" t="inlineStr"/>
    </row>
    <row r="232">
      <c r="A232" s="23" t="inlineStr">
        <is>
          <t>流心奶黄包</t>
        </is>
      </c>
      <c r="B232" s="23" t="inlineStr">
        <is>
          <t>甜点</t>
        </is>
      </c>
      <c r="C232" s="24" t="inlineStr">
        <is>
          <t>—</t>
        </is>
      </c>
      <c r="D232" s="25" t="n">
        <v>1046</v>
      </c>
      <c r="E232" s="25" t="n">
        <v>250</v>
      </c>
      <c r="F232" s="25" t="n">
        <v>80</v>
      </c>
      <c r="G232" s="25">
        <f>ROUND(D232*F232/100,0)</f>
        <v/>
      </c>
      <c r="H232" s="25">
        <f>ROUND(E232*F232/100,0)</f>
        <v/>
      </c>
      <c r="I232" s="23" t="inlineStr">
        <is>
          <t>碳水化合物(38g/100g)、脂肪(14g)、糖(20g)</t>
        </is>
      </c>
      <c r="J232" s="23" t="inlineStr">
        <is>
          <t>蛋白质(7g)、钙</t>
        </is>
      </c>
      <c r="K232" s="23" t="inlineStr">
        <is>
          <t>比普通奶黄包脂肪高</t>
        </is>
      </c>
      <c r="L232" s="23" t="inlineStr"/>
    </row>
    <row r="233">
      <c r="A233" s="26" t="inlineStr">
        <is>
          <t>燕麦奶</t>
        </is>
      </c>
      <c r="B233" s="26" t="inlineStr">
        <is>
          <t>饮品</t>
        </is>
      </c>
      <c r="C233" s="27" t="inlineStr">
        <is>
          <t>—</t>
        </is>
      </c>
      <c r="D233" s="28" t="n">
        <v>180</v>
      </c>
      <c r="E233" s="28" t="n">
        <v>43</v>
      </c>
      <c r="F233" s="28" t="n">
        <v>250</v>
      </c>
      <c r="G233" s="28">
        <f>ROUND(D233*F233/100,0)</f>
        <v/>
      </c>
      <c r="H233" s="28">
        <f>ROUND(E233*F233/100,0)</f>
        <v/>
      </c>
      <c r="I233" s="26" t="inlineStr">
        <is>
          <t>碳水化合物(7g/100ml)、蛋白质(1g)</t>
        </is>
      </c>
      <c r="J233" s="26" t="inlineStr">
        <is>
          <t>β-葡聚糖、维生素D</t>
        </is>
      </c>
      <c r="K233" s="26" t="inlineStr">
        <is>
          <t>植物奶，较少蛋白质</t>
        </is>
      </c>
      <c r="L233" s="26" t="inlineStr"/>
    </row>
    <row r="234">
      <c r="A234" s="26" t="inlineStr">
        <is>
          <t>杏仁奶</t>
        </is>
      </c>
      <c r="B234" s="26" t="inlineStr">
        <is>
          <t>饮品</t>
        </is>
      </c>
      <c r="C234" s="27" t="inlineStr">
        <is>
          <t>—</t>
        </is>
      </c>
      <c r="D234" s="28" t="n">
        <v>63</v>
      </c>
      <c r="E234" s="28" t="n">
        <v>15</v>
      </c>
      <c r="F234" s="28" t="n">
        <v>250</v>
      </c>
      <c r="G234" s="28">
        <f>ROUND(D234*F234/100,0)</f>
        <v/>
      </c>
      <c r="H234" s="28">
        <f>ROUND(E234*F234/100,0)</f>
        <v/>
      </c>
      <c r="I234" s="26" t="inlineStr">
        <is>
          <t>碳水化合物(1g/100ml)、脂肪(1g)</t>
        </is>
      </c>
      <c r="J234" s="26" t="inlineStr">
        <is>
          <t>维生素E、钙（若强化）</t>
        </is>
      </c>
      <c r="K234" s="26" t="inlineStr">
        <is>
          <t>热量极低</t>
        </is>
      </c>
      <c r="L234" s="26" t="inlineStr"/>
    </row>
    <row r="235">
      <c r="A235" s="26" t="inlineStr">
        <is>
          <t>椰奶（全脂）</t>
        </is>
      </c>
      <c r="B235" s="26" t="inlineStr">
        <is>
          <t>饮品</t>
        </is>
      </c>
      <c r="C235" s="27" t="inlineStr">
        <is>
          <t>—</t>
        </is>
      </c>
      <c r="D235" s="28" t="n">
        <v>920</v>
      </c>
      <c r="E235" s="28" t="n">
        <v>220</v>
      </c>
      <c r="F235" s="28" t="n">
        <v>200</v>
      </c>
      <c r="G235" s="28">
        <f>ROUND(D235*F235/100,0)</f>
        <v/>
      </c>
      <c r="H235" s="28">
        <f>ROUND(E235*F235/100,0)</f>
        <v/>
      </c>
      <c r="I235" s="26" t="inlineStr">
        <is>
          <t>脂肪(24g/100g)、碳水化合物(3g)</t>
        </is>
      </c>
      <c r="J235" s="26" t="inlineStr">
        <is>
          <t>中链脂肪酸、锰</t>
        </is>
      </c>
      <c r="K235" s="26" t="inlineStr">
        <is>
          <t>高脂高热，用于料理或饮品</t>
        </is>
      </c>
      <c r="L235" s="26" t="inlineStr"/>
    </row>
    <row r="236">
      <c r="A236" s="26" t="inlineStr">
        <is>
          <t>酸奶（全脂原味）</t>
        </is>
      </c>
      <c r="B236" s="26" t="inlineStr">
        <is>
          <t>饮品</t>
        </is>
      </c>
      <c r="C236" s="27" t="inlineStr">
        <is>
          <t>—</t>
        </is>
      </c>
      <c r="D236" s="28" t="n">
        <v>301</v>
      </c>
      <c r="E236" s="28" t="n">
        <v>72</v>
      </c>
      <c r="F236" s="28" t="n">
        <v>200</v>
      </c>
      <c r="G236" s="28">
        <f>ROUND(D236*F236/100,0)</f>
        <v/>
      </c>
      <c r="H236" s="28">
        <f>ROUND(E236*F236/100,0)</f>
        <v/>
      </c>
      <c r="I236" s="26" t="inlineStr">
        <is>
          <t>蛋白质(3.5g/100g)、钙(120mg)</t>
        </is>
      </c>
      <c r="J236" s="26" t="inlineStr">
        <is>
          <t>益生菌、维生素B2</t>
        </is>
      </c>
      <c r="K236" s="26" t="inlineStr">
        <is>
          <t>加糖风味酸奶热量更高</t>
        </is>
      </c>
      <c r="L236" s="26" t="inlineStr"/>
    </row>
    <row r="237">
      <c r="A237" s="26" t="inlineStr">
        <is>
          <t>乳酸菌饮料</t>
        </is>
      </c>
      <c r="B237" s="26" t="inlineStr">
        <is>
          <t>饮品</t>
        </is>
      </c>
      <c r="C237" s="27" t="inlineStr">
        <is>
          <t>—</t>
        </is>
      </c>
      <c r="D237" s="28" t="n">
        <v>251</v>
      </c>
      <c r="E237" s="28" t="n">
        <v>60</v>
      </c>
      <c r="F237" s="28" t="n">
        <v>200</v>
      </c>
      <c r="G237" s="28">
        <f>ROUND(D237*F237/100,0)</f>
        <v/>
      </c>
      <c r="H237" s="28">
        <f>ROUND(E237*F237/100,0)</f>
        <v/>
      </c>
      <c r="I237" s="26" t="inlineStr">
        <is>
          <t>碳水化合物(13g/100ml)、糖(11g)</t>
        </is>
      </c>
      <c r="J237" s="26" t="inlineStr">
        <is>
          <t>少量益生菌</t>
        </is>
      </c>
      <c r="K237" s="26" t="inlineStr">
        <is>
          <t>含糖量高，与含糖饮料相当</t>
        </is>
      </c>
      <c r="L237" s="26" t="inlineStr"/>
    </row>
    <row r="238">
      <c r="A238" s="26" t="inlineStr">
        <is>
          <t>运动饮料（如脉动）</t>
        </is>
      </c>
      <c r="B238" s="26" t="inlineStr">
        <is>
          <t>饮品</t>
        </is>
      </c>
      <c r="C238" s="27" t="inlineStr">
        <is>
          <t>—</t>
        </is>
      </c>
      <c r="D238" s="28" t="n">
        <v>84</v>
      </c>
      <c r="E238" s="28" t="n">
        <v>20</v>
      </c>
      <c r="F238" s="28" t="n">
        <v>500</v>
      </c>
      <c r="G238" s="28">
        <f>ROUND(D238*F238/100,0)</f>
        <v/>
      </c>
      <c r="H238" s="28">
        <f>ROUND(E238*F238/100,0)</f>
        <v/>
      </c>
      <c r="I238" s="26" t="inlineStr">
        <is>
          <t>碳水化合物(5g/100ml)、糖(4.5g)</t>
        </is>
      </c>
      <c r="J238" s="26" t="inlineStr">
        <is>
          <t>钠、钾（电解质）</t>
        </is>
      </c>
      <c r="K238" s="26" t="inlineStr">
        <is>
          <t>补充电解质，日常无需大量饮用</t>
        </is>
      </c>
      <c r="L238" s="26" t="inlineStr"/>
    </row>
    <row r="239">
      <c r="A239" s="26" t="inlineStr">
        <is>
          <t>红牛（功能饮料）</t>
        </is>
      </c>
      <c r="B239" s="26" t="inlineStr">
        <is>
          <t>饮品</t>
        </is>
      </c>
      <c r="C239" s="27" t="inlineStr">
        <is>
          <t>—</t>
        </is>
      </c>
      <c r="D239" s="28" t="n">
        <v>200</v>
      </c>
      <c r="E239" s="28" t="n">
        <v>48</v>
      </c>
      <c r="F239" s="28" t="n">
        <v>250</v>
      </c>
      <c r="G239" s="28">
        <f>ROUND(D239*F239/100,0)</f>
        <v/>
      </c>
      <c r="H239" s="28">
        <f>ROUND(E239*F239/100,0)</f>
        <v/>
      </c>
      <c r="I239" s="26" t="inlineStr">
        <is>
          <t>碳水化合物(11g/100ml)、糖(11g)</t>
        </is>
      </c>
      <c r="J239" s="26" t="inlineStr">
        <is>
          <t>咖啡因(50mg/罐)、牛磺酸</t>
        </is>
      </c>
      <c r="K239" s="26" t="inlineStr">
        <is>
          <t>含糖，咖啡因可提神</t>
        </is>
      </c>
      <c r="L239" s="26" t="inlineStr"/>
    </row>
    <row r="240">
      <c r="A240" s="26" t="inlineStr">
        <is>
          <t>米酒（甜型）</t>
        </is>
      </c>
      <c r="B240" s="26" t="inlineStr">
        <is>
          <t>饮品</t>
        </is>
      </c>
      <c r="C240" s="27" t="inlineStr">
        <is>
          <t>—</t>
        </is>
      </c>
      <c r="D240" s="28" t="n">
        <v>452</v>
      </c>
      <c r="E240" s="28" t="n">
        <v>108</v>
      </c>
      <c r="F240" s="28" t="n">
        <v>250</v>
      </c>
      <c r="G240" s="28">
        <f>ROUND(D240*F240/100,0)</f>
        <v/>
      </c>
      <c r="H240" s="28">
        <f>ROUND(E240*F240/100,0)</f>
        <v/>
      </c>
      <c r="I240" s="26" t="inlineStr">
        <is>
          <t>碳水化合物(26g/100ml)、糖(22g)、酒精(2%)</t>
        </is>
      </c>
      <c r="J240" s="26" t="inlineStr">
        <is>
          <t>少量B族维生素</t>
        </is>
      </c>
      <c r="K240" s="26" t="inlineStr">
        <is>
          <t>含糖高，糖尿病慎用</t>
        </is>
      </c>
      <c r="L240" s="26" t="inlineStr"/>
    </row>
    <row r="241">
      <c r="A241" s="26" t="inlineStr">
        <is>
          <t>梅子绿茶</t>
        </is>
      </c>
      <c r="B241" s="26" t="inlineStr">
        <is>
          <t>饮品</t>
        </is>
      </c>
      <c r="C241" s="27" t="inlineStr">
        <is>
          <t>—</t>
        </is>
      </c>
      <c r="D241" s="28" t="n">
        <v>180</v>
      </c>
      <c r="E241" s="28" t="n">
        <v>43</v>
      </c>
      <c r="F241" s="28" t="n">
        <v>500</v>
      </c>
      <c r="G241" s="28">
        <f>ROUND(D241*F241/100,0)</f>
        <v/>
      </c>
      <c r="H241" s="28">
        <f>ROUND(E241*F241/100,0)</f>
        <v/>
      </c>
      <c r="I241" s="26" t="inlineStr">
        <is>
          <t>碳水化合物(10g/100ml)、糖(8g)</t>
        </is>
      </c>
      <c r="J241" s="26" t="inlineStr">
        <is>
          <t>茶多酚、维生素C(梅子)</t>
        </is>
      </c>
      <c r="K241" s="26" t="inlineStr">
        <is>
          <t>含糖茶饮，热量适中</t>
        </is>
      </c>
      <c r="L241" s="26" t="inlineStr"/>
    </row>
    <row r="242">
      <c r="A242" s="26" t="inlineStr">
        <is>
          <t>纯果汁（苹果）</t>
        </is>
      </c>
      <c r="B242" s="26" t="inlineStr">
        <is>
          <t>饮品</t>
        </is>
      </c>
      <c r="C242" s="27" t="inlineStr">
        <is>
          <t>—</t>
        </is>
      </c>
      <c r="D242" s="28" t="n">
        <v>197</v>
      </c>
      <c r="E242" s="28" t="n">
        <v>47</v>
      </c>
      <c r="F242" s="28" t="n">
        <v>250</v>
      </c>
      <c r="G242" s="28">
        <f>ROUND(D242*F242/100,0)</f>
        <v/>
      </c>
      <c r="H242" s="28">
        <f>ROUND(E242*F242/100,0)</f>
        <v/>
      </c>
      <c r="I242" s="26" t="inlineStr">
        <is>
          <t>碳水化合物(11g/100ml)、糖(10g)</t>
        </is>
      </c>
      <c r="J242" s="26" t="inlineStr">
        <is>
          <t>维生素C、钾</t>
        </is>
      </c>
      <c r="K242" s="26" t="inlineStr">
        <is>
          <t>去除膳食纤维，升糖快</t>
        </is>
      </c>
      <c r="L242" s="26" t="inlineStr"/>
    </row>
    <row r="243">
      <c r="A243" s="26" t="inlineStr">
        <is>
          <t>气泡水（无糖）</t>
        </is>
      </c>
      <c r="B243" s="26" t="inlineStr">
        <is>
          <t>饮品</t>
        </is>
      </c>
      <c r="C243" s="27" t="inlineStr">
        <is>
          <t>—</t>
        </is>
      </c>
      <c r="D243" s="28" t="n">
        <v>0</v>
      </c>
      <c r="E243" s="28" t="n">
        <v>0</v>
      </c>
      <c r="F243" s="28" t="n">
        <v>350</v>
      </c>
      <c r="G243" s="28">
        <f>ROUND(D243*F243/100,0)</f>
        <v/>
      </c>
      <c r="H243" s="28">
        <f>ROUND(E243*F243/100,0)</f>
        <v/>
      </c>
      <c r="I243" s="26" t="inlineStr">
        <is>
          <t>无热量</t>
        </is>
      </c>
      <c r="J243" s="26" t="inlineStr">
        <is>
          <t>少量矿物质</t>
        </is>
      </c>
      <c r="K243" s="26" t="inlineStr">
        <is>
          <t>代替碳酸饮料好选择</t>
        </is>
      </c>
      <c r="L243" s="26" t="inlineStr"/>
    </row>
    <row r="244">
      <c r="A244" s="26" t="inlineStr">
        <is>
          <t>热巧克力（全脂奶）</t>
        </is>
      </c>
      <c r="B244" s="26" t="inlineStr">
        <is>
          <t>饮品</t>
        </is>
      </c>
      <c r="C244" s="27" t="inlineStr">
        <is>
          <t>—</t>
        </is>
      </c>
      <c r="D244" s="28" t="n">
        <v>460</v>
      </c>
      <c r="E244" s="28" t="n">
        <v>110</v>
      </c>
      <c r="F244" s="28" t="n">
        <v>300</v>
      </c>
      <c r="G244" s="28">
        <f>ROUND(D244*F244/100,0)</f>
        <v/>
      </c>
      <c r="H244" s="28">
        <f>ROUND(E244*F244/100,0)</f>
        <v/>
      </c>
      <c r="I244" s="26" t="inlineStr">
        <is>
          <t>碳水化合物(14g/100ml)、脂肪(4g)、糖(12g)</t>
        </is>
      </c>
      <c r="J244" s="26" t="inlineStr">
        <is>
          <t>钙、镁、可可碱</t>
        </is>
      </c>
      <c r="K244" s="26" t="inlineStr">
        <is>
          <t>加奶油热量更高</t>
        </is>
      </c>
      <c r="L244" s="26" t="inlineStr"/>
    </row>
    <row r="245">
      <c r="A245" s="29" t="inlineStr">
        <is>
          <t>石锅拌饭</t>
        </is>
      </c>
      <c r="B245" s="29" t="inlineStr">
        <is>
          <t>外卖常见</t>
        </is>
      </c>
      <c r="C245" s="30" t="inlineStr">
        <is>
          <t>—</t>
        </is>
      </c>
      <c r="D245" s="31" t="n">
        <v>670</v>
      </c>
      <c r="E245" s="31" t="n">
        <v>160</v>
      </c>
      <c r="F245" s="31" t="n">
        <v>500</v>
      </c>
      <c r="G245" s="31">
        <f>ROUND(D245*F245/100,0)</f>
        <v/>
      </c>
      <c r="H245" s="31">
        <f>ROUND(E245*F245/100,0)</f>
        <v/>
      </c>
      <c r="I245" s="29" t="inlineStr">
        <is>
          <t>碳水化合物(22g/100g)、蛋白质(6g)</t>
        </is>
      </c>
      <c r="J245" s="29" t="inlineStr">
        <is>
          <t>脂肪(4g)、各类蔬菜维生素</t>
        </is>
      </c>
      <c r="K245" s="29" t="inlineStr">
        <is>
          <t>韩式风格，热量适中</t>
        </is>
      </c>
      <c r="L245" s="29" t="inlineStr"/>
    </row>
    <row r="246">
      <c r="A246" s="29" t="inlineStr">
        <is>
          <t>煲仔饭</t>
        </is>
      </c>
      <c r="B246" s="29" t="inlineStr">
        <is>
          <t>外卖常见</t>
        </is>
      </c>
      <c r="C246" s="30" t="inlineStr">
        <is>
          <t>—</t>
        </is>
      </c>
      <c r="D246" s="31" t="n">
        <v>712</v>
      </c>
      <c r="E246" s="31" t="n">
        <v>170</v>
      </c>
      <c r="F246" s="31" t="n">
        <v>500</v>
      </c>
      <c r="G246" s="31">
        <f>ROUND(D246*F246/100,0)</f>
        <v/>
      </c>
      <c r="H246" s="31">
        <f>ROUND(E246*F246/100,0)</f>
        <v/>
      </c>
      <c r="I246" s="29" t="inlineStr">
        <is>
          <t>碳水化合物(25g/100g)、蛋白质(8g)</t>
        </is>
      </c>
      <c r="J246" s="29" t="inlineStr">
        <is>
          <t>脂肪(5g)、钠较高</t>
        </is>
      </c>
      <c r="K246" s="29" t="inlineStr">
        <is>
          <t>广式经典，锅底焦香</t>
        </is>
      </c>
      <c r="L246" s="29" t="inlineStr"/>
    </row>
    <row r="247">
      <c r="A247" s="29" t="inlineStr">
        <is>
          <t>沙拉（鸡胸）</t>
        </is>
      </c>
      <c r="B247" s="29" t="inlineStr">
        <is>
          <t>外卖常见</t>
        </is>
      </c>
      <c r="C247" s="30" t="inlineStr">
        <is>
          <t>—</t>
        </is>
      </c>
      <c r="D247" s="31" t="n">
        <v>418</v>
      </c>
      <c r="E247" s="31" t="n">
        <v>100</v>
      </c>
      <c r="F247" s="31" t="n">
        <v>300</v>
      </c>
      <c r="G247" s="31">
        <f>ROUND(D247*F247/100,0)</f>
        <v/>
      </c>
      <c r="H247" s="31">
        <f>ROUND(E247*F247/100,0)</f>
        <v/>
      </c>
      <c r="I247" s="29" t="inlineStr">
        <is>
          <t>蛋白质(14g/100g)、脂肪(4g)、膳食纤维(2g)</t>
        </is>
      </c>
      <c r="J247" s="29" t="inlineStr">
        <is>
          <t>维生素C、K、钾</t>
        </is>
      </c>
      <c r="K247" s="29" t="inlineStr">
        <is>
          <t>健身常选，沙拉酱另计</t>
        </is>
      </c>
      <c r="L247" s="29" t="inlineStr"/>
    </row>
    <row r="248">
      <c r="A248" s="29" t="inlineStr">
        <is>
          <t>三明治（全麦火腿）</t>
        </is>
      </c>
      <c r="B248" s="29" t="inlineStr">
        <is>
          <t>外卖常见</t>
        </is>
      </c>
      <c r="C248" s="30" t="inlineStr">
        <is>
          <t>—</t>
        </is>
      </c>
      <c r="D248" s="31" t="n">
        <v>920</v>
      </c>
      <c r="E248" s="31" t="n">
        <v>220</v>
      </c>
      <c r="F248" s="31" t="n">
        <v>150</v>
      </c>
      <c r="G248" s="31">
        <f>ROUND(D248*F248/100,0)</f>
        <v/>
      </c>
      <c r="H248" s="31">
        <f>ROUND(E248*F248/100,0)</f>
        <v/>
      </c>
      <c r="I248" s="29" t="inlineStr">
        <is>
          <t>碳水化合物(30g/100g)、蛋白质(12g)</t>
        </is>
      </c>
      <c r="J248" s="29" t="inlineStr">
        <is>
          <t>脂肪(8g)、膳食纤维</t>
        </is>
      </c>
      <c r="K248" s="29" t="inlineStr">
        <is>
          <t>早餐常见，营养较均衡</t>
        </is>
      </c>
      <c r="L248" s="29" t="inlineStr"/>
    </row>
    <row r="249">
      <c r="A249" s="29" t="inlineStr">
        <is>
          <t>肉夹馍</t>
        </is>
      </c>
      <c r="B249" s="29" t="inlineStr">
        <is>
          <t>外卖常见</t>
        </is>
      </c>
      <c r="C249" s="30" t="inlineStr">
        <is>
          <t>—</t>
        </is>
      </c>
      <c r="D249" s="31" t="n">
        <v>1046</v>
      </c>
      <c r="E249" s="31" t="n">
        <v>250</v>
      </c>
      <c r="F249" s="31" t="n">
        <v>200</v>
      </c>
      <c r="G249" s="31">
        <f>ROUND(D249*F249/100,0)</f>
        <v/>
      </c>
      <c r="H249" s="31">
        <f>ROUND(E249*F249/100,0)</f>
        <v/>
      </c>
      <c r="I249" s="29" t="inlineStr">
        <is>
          <t>碳水化合物(32g/100g)、蛋白质(10g)</t>
        </is>
      </c>
      <c r="J249" s="29" t="inlineStr">
        <is>
          <t>脂肪(13g)、钠高</t>
        </is>
      </c>
      <c r="K249" s="29" t="inlineStr">
        <is>
          <t>陕西经典，腊汁肉脂肪丰富</t>
        </is>
      </c>
      <c r="L249" s="29" t="inlineStr"/>
    </row>
    <row r="250">
      <c r="A250" s="29" t="inlineStr">
        <is>
          <t>鸡蛋灌饼（外卖）</t>
        </is>
      </c>
      <c r="B250" s="29" t="inlineStr">
        <is>
          <t>外卖常见</t>
        </is>
      </c>
      <c r="C250" s="30" t="inlineStr">
        <is>
          <t>—</t>
        </is>
      </c>
      <c r="D250" s="31" t="n">
        <v>1046</v>
      </c>
      <c r="E250" s="31" t="n">
        <v>250</v>
      </c>
      <c r="F250" s="31" t="n">
        <v>200</v>
      </c>
      <c r="G250" s="31">
        <f>ROUND(D250*F250/100,0)</f>
        <v/>
      </c>
      <c r="H250" s="31">
        <f>ROUND(E250*F250/100,0)</f>
        <v/>
      </c>
      <c r="I250" s="29" t="inlineStr">
        <is>
          <t>碳水化合物(32g/100g)、蛋白质(10g)</t>
        </is>
      </c>
      <c r="J250" s="29" t="inlineStr">
        <is>
          <t>脂肪(12g)</t>
        </is>
      </c>
      <c r="K250" s="29" t="inlineStr">
        <is>
          <t>加火腿、酱料热量更高</t>
        </is>
      </c>
      <c r="L250" s="29" t="inlineStr"/>
    </row>
    <row r="251">
      <c r="A251" s="29" t="inlineStr">
        <is>
          <t>烤鸡腿饭</t>
        </is>
      </c>
      <c r="B251" s="29" t="inlineStr">
        <is>
          <t>外卖常见</t>
        </is>
      </c>
      <c r="C251" s="30" t="inlineStr">
        <is>
          <t>—</t>
        </is>
      </c>
      <c r="D251" s="31" t="n">
        <v>712</v>
      </c>
      <c r="E251" s="31" t="n">
        <v>170</v>
      </c>
      <c r="F251" s="31" t="n">
        <v>500</v>
      </c>
      <c r="G251" s="31">
        <f>ROUND(D251*F251/100,0)</f>
        <v/>
      </c>
      <c r="H251" s="31">
        <f>ROUND(E251*F251/100,0)</f>
        <v/>
      </c>
      <c r="I251" s="29" t="inlineStr">
        <is>
          <t>蛋白质(16g/100g)、碳水化合物(20g)</t>
        </is>
      </c>
      <c r="J251" s="29" t="inlineStr">
        <is>
          <t>脂肪(6g)</t>
        </is>
      </c>
      <c r="K251" s="29" t="inlineStr">
        <is>
          <t>相比炸鸡腿热量低</t>
        </is>
      </c>
      <c r="L251" s="29" t="inlineStr"/>
    </row>
    <row r="252">
      <c r="A252" s="29" t="inlineStr">
        <is>
          <t>酸菜鱼饭</t>
        </is>
      </c>
      <c r="B252" s="29" t="inlineStr">
        <is>
          <t>外卖常见</t>
        </is>
      </c>
      <c r="C252" s="30" t="inlineStr">
        <is>
          <t>—</t>
        </is>
      </c>
      <c r="D252" s="31" t="n">
        <v>628</v>
      </c>
      <c r="E252" s="31" t="n">
        <v>150</v>
      </c>
      <c r="F252" s="31" t="n">
        <v>600</v>
      </c>
      <c r="G252" s="31">
        <f>ROUND(D252*F252/100,0)</f>
        <v/>
      </c>
      <c r="H252" s="31">
        <f>ROUND(E252*F252/100,0)</f>
        <v/>
      </c>
      <c r="I252" s="29" t="inlineStr">
        <is>
          <t>蛋白质(12g/100g)、碳水化合物(18g)</t>
        </is>
      </c>
      <c r="J252" s="29" t="inlineStr">
        <is>
          <t>脂肪(5g)、钠高(酸菜)</t>
        </is>
      </c>
      <c r="K252" s="29" t="inlineStr">
        <is>
          <t>鱼肉蛋白丰富，酸菜钠高</t>
        </is>
      </c>
      <c r="L252" s="29" t="inlineStr"/>
    </row>
    <row r="253">
      <c r="A253" s="29" t="inlineStr">
        <is>
          <t>炒花蛤</t>
        </is>
      </c>
      <c r="B253" s="29" t="inlineStr">
        <is>
          <t>外卖常见</t>
        </is>
      </c>
      <c r="C253" s="30" t="inlineStr">
        <is>
          <t>—</t>
        </is>
      </c>
      <c r="D253" s="31" t="n">
        <v>502</v>
      </c>
      <c r="E253" s="31" t="n">
        <v>120</v>
      </c>
      <c r="F253" s="31" t="n">
        <v>300</v>
      </c>
      <c r="G253" s="31">
        <f>ROUND(D253*F253/100,0)</f>
        <v/>
      </c>
      <c r="H253" s="31">
        <f>ROUND(E253*F253/100,0)</f>
        <v/>
      </c>
      <c r="I253" s="29" t="inlineStr">
        <is>
          <t>蛋白质(14g/100g)、脂肪(4g)</t>
        </is>
      </c>
      <c r="J253" s="29" t="inlineStr">
        <is>
          <t>锌、牛磺酸、铁</t>
        </is>
      </c>
      <c r="K253" s="29" t="inlineStr">
        <is>
          <t>低热量高蛋白，蘸汤汁钠高</t>
        </is>
      </c>
      <c r="L253" s="29" t="inlineStr"/>
    </row>
    <row r="254">
      <c r="A254" s="29" t="inlineStr">
        <is>
          <t>蒸鸡蛋羹套餐</t>
        </is>
      </c>
      <c r="B254" s="29" t="inlineStr">
        <is>
          <t>外卖常见</t>
        </is>
      </c>
      <c r="C254" s="30" t="inlineStr">
        <is>
          <t>—</t>
        </is>
      </c>
      <c r="D254" s="31" t="n">
        <v>418</v>
      </c>
      <c r="E254" s="31" t="n">
        <v>100</v>
      </c>
      <c r="F254" s="31" t="n">
        <v>400</v>
      </c>
      <c r="G254" s="31">
        <f>ROUND(D254*F254/100,0)</f>
        <v/>
      </c>
      <c r="H254" s="31">
        <f>ROUND(E254*F254/100,0)</f>
        <v/>
      </c>
      <c r="I254" s="29" t="inlineStr">
        <is>
          <t>蛋白质(8g/100g)、脂肪(5g)</t>
        </is>
      </c>
      <c r="J254" s="29" t="inlineStr">
        <is>
          <t>卵磷脂、钙、维生素D</t>
        </is>
      </c>
      <c r="K254" s="29" t="inlineStr">
        <is>
          <t>营养均衡轻食选择</t>
        </is>
      </c>
      <c r="L254" s="29" t="inlineStr"/>
    </row>
    <row r="255">
      <c r="A255" s="29" t="inlineStr">
        <is>
          <t>冒烤鸭</t>
        </is>
      </c>
      <c r="B255" s="29" t="inlineStr">
        <is>
          <t>外卖常见</t>
        </is>
      </c>
      <c r="C255" s="30" t="inlineStr">
        <is>
          <t>—</t>
        </is>
      </c>
      <c r="D255" s="31" t="n">
        <v>920</v>
      </c>
      <c r="E255" s="31" t="n">
        <v>220</v>
      </c>
      <c r="F255" s="31" t="n">
        <v>400</v>
      </c>
      <c r="G255" s="31">
        <f>ROUND(D255*F255/100,0)</f>
        <v/>
      </c>
      <c r="H255" s="31">
        <f>ROUND(E255*F255/100,0)</f>
        <v/>
      </c>
      <c r="I255" s="29" t="inlineStr">
        <is>
          <t>脂肪(16g/100g)、蛋白质(14g)</t>
        </is>
      </c>
      <c r="J255" s="29" t="inlineStr">
        <is>
          <t>钠极高、辣椒素</t>
        </is>
      </c>
      <c r="K255" s="29" t="inlineStr">
        <is>
          <t>重庆特色外卖，红油高热量</t>
        </is>
      </c>
      <c r="L255" s="29" t="inlineStr"/>
    </row>
    <row r="256">
      <c r="A256" s="29" t="inlineStr">
        <is>
          <t>海底捞（自助均值）</t>
        </is>
      </c>
      <c r="B256" s="29" t="inlineStr">
        <is>
          <t>外卖常见</t>
        </is>
      </c>
      <c r="C256" s="30" t="inlineStr">
        <is>
          <t>—</t>
        </is>
      </c>
      <c r="D256" s="31" t="n">
        <v>544</v>
      </c>
      <c r="E256" s="31" t="n">
        <v>130</v>
      </c>
      <c r="F256" s="31" t="n">
        <v>500</v>
      </c>
      <c r="G256" s="31">
        <f>ROUND(D256*F256/100,0)</f>
        <v/>
      </c>
      <c r="H256" s="31">
        <f>ROUND(E256*F256/100,0)</f>
        <v/>
      </c>
      <c r="I256" s="29" t="inlineStr">
        <is>
          <t>蛋白质(10g/100g)、碳水化合物(12g)</t>
        </is>
      </c>
      <c r="J256" s="29" t="inlineStr">
        <is>
          <t>脂肪(7g)、钠高(火锅汤底)</t>
        </is>
      </c>
      <c r="K256" s="29" t="inlineStr">
        <is>
          <t>实际热量因蘸料和食材差异极大</t>
        </is>
      </c>
      <c r="L256" s="29" t="inlineStr"/>
    </row>
    <row r="257">
      <c r="A257" s="29" t="inlineStr">
        <is>
          <t>酸菜白肉锅</t>
        </is>
      </c>
      <c r="B257" s="29" t="inlineStr">
        <is>
          <t>外卖常见</t>
        </is>
      </c>
      <c r="C257" s="30" t="inlineStr">
        <is>
          <t>—</t>
        </is>
      </c>
      <c r="D257" s="31" t="n">
        <v>628</v>
      </c>
      <c r="E257" s="31" t="n">
        <v>150</v>
      </c>
      <c r="F257" s="31" t="n">
        <v>500</v>
      </c>
      <c r="G257" s="31">
        <f>ROUND(D257*F257/100,0)</f>
        <v/>
      </c>
      <c r="H257" s="31">
        <f>ROUND(E257*F257/100,0)</f>
        <v/>
      </c>
      <c r="I257" s="29" t="inlineStr">
        <is>
          <t>蛋白质(12g/100g)、脂肪(8g)</t>
        </is>
      </c>
      <c r="J257" s="29" t="inlineStr">
        <is>
          <t>维生素C(酸菜)、钠高</t>
        </is>
      </c>
      <c r="K257" s="29" t="inlineStr">
        <is>
          <t>东北特色，猪肉脂肪较高</t>
        </is>
      </c>
      <c r="L257" s="29" t="inlineStr"/>
    </row>
    <row r="258">
      <c r="A258" s="29" t="inlineStr">
        <is>
          <t>牛杂粉</t>
        </is>
      </c>
      <c r="B258" s="29" t="inlineStr">
        <is>
          <t>外卖常见</t>
        </is>
      </c>
      <c r="C258" s="30" t="inlineStr">
        <is>
          <t>—</t>
        </is>
      </c>
      <c r="D258" s="31" t="n">
        <v>502</v>
      </c>
      <c r="E258" s="31" t="n">
        <v>120</v>
      </c>
      <c r="F258" s="31" t="n">
        <v>400</v>
      </c>
      <c r="G258" s="31">
        <f>ROUND(D258*F258/100,0)</f>
        <v/>
      </c>
      <c r="H258" s="31">
        <f>ROUND(E258*F258/100,0)</f>
        <v/>
      </c>
      <c r="I258" s="29" t="inlineStr">
        <is>
          <t>蛋白质(9g/100g)、碳水化合物(16g)</t>
        </is>
      </c>
      <c r="J258" s="29" t="inlineStr">
        <is>
          <t>铁、锌、胶原蛋白</t>
        </is>
      </c>
      <c r="K258" s="29" t="inlineStr">
        <is>
          <t>广式常见，内脏嘌呤较高</t>
        </is>
      </c>
      <c r="L258" s="29" t="inlineStr"/>
    </row>
    <row r="259">
      <c r="A259" s="5" t="inlineStr">
        <is>
          <t>毛血旺</t>
        </is>
      </c>
      <c r="B259" s="5" t="inlineStr">
        <is>
          <t>菜肴</t>
        </is>
      </c>
      <c r="C259" s="8" t="inlineStr">
        <is>
          <t>川菜</t>
        </is>
      </c>
      <c r="D259" s="7" t="n">
        <v>628</v>
      </c>
      <c r="E259" s="7" t="n">
        <v>150</v>
      </c>
      <c r="F259" s="7" t="n">
        <v>350</v>
      </c>
      <c r="G259" s="7">
        <f>ROUND(D259*F259/100,0)</f>
        <v/>
      </c>
      <c r="H259" s="7">
        <f>ROUND(E259*F259/100,0)</f>
        <v/>
      </c>
      <c r="I259" s="5" t="inlineStr">
        <is>
          <t>蛋白质(10g)、脂肪(10g)</t>
        </is>
      </c>
      <c r="J259" s="5" t="inlineStr">
        <is>
          <t>辣椒素、花椒、钠高</t>
        </is>
      </c>
      <c r="K259" s="5" t="inlineStr">
        <is>
          <t>红油汤锅，食材丰富</t>
        </is>
      </c>
      <c r="L259" s="5" t="inlineStr">
        <is>
          <t>猪血、豆腐（南豆腐）、豆瓣酱、辣椒油</t>
        </is>
      </c>
    </row>
    <row r="260">
      <c r="A260" s="5" t="inlineStr">
        <is>
          <t>钵钵鸡</t>
        </is>
      </c>
      <c r="B260" s="5" t="inlineStr">
        <is>
          <t>菜肴</t>
        </is>
      </c>
      <c r="C260" s="8" t="inlineStr">
        <is>
          <t>川菜</t>
        </is>
      </c>
      <c r="D260" s="7" t="n">
        <v>502</v>
      </c>
      <c r="E260" s="7" t="n">
        <v>120</v>
      </c>
      <c r="F260" s="7" t="n">
        <v>200</v>
      </c>
      <c r="G260" s="7">
        <f>ROUND(D260*F260/100,0)</f>
        <v/>
      </c>
      <c r="H260" s="7">
        <f>ROUND(E260*F260/100,0)</f>
        <v/>
      </c>
      <c r="I260" s="5" t="inlineStr">
        <is>
          <t>蛋白质(10g)、碳水化合物(8g)</t>
        </is>
      </c>
      <c r="J260" s="5" t="inlineStr">
        <is>
          <t>脂肪(7g)、辣椒素</t>
        </is>
      </c>
      <c r="K260" s="5" t="inlineStr">
        <is>
          <t>冷锅串串，签签计量</t>
        </is>
      </c>
      <c r="L260" s="5" t="inlineStr">
        <is>
          <t>鸡腿肉（去皮）、芝麻酱、辣椒油</t>
        </is>
      </c>
    </row>
    <row r="261">
      <c r="A261" s="5" t="inlineStr">
        <is>
          <t>干锅土豆片</t>
        </is>
      </c>
      <c r="B261" s="5" t="inlineStr">
        <is>
          <t>菜肴</t>
        </is>
      </c>
      <c r="C261" s="8" t="inlineStr">
        <is>
          <t>川菜</t>
        </is>
      </c>
      <c r="D261" s="7" t="n">
        <v>628</v>
      </c>
      <c r="E261" s="7" t="n">
        <v>150</v>
      </c>
      <c r="F261" s="7" t="n">
        <v>200</v>
      </c>
      <c r="G261" s="7">
        <f>ROUND(D261*F261/100,0)</f>
        <v/>
      </c>
      <c r="H261" s="7">
        <f>ROUND(E261*F261/100,0)</f>
        <v/>
      </c>
      <c r="I261" s="5" t="inlineStr">
        <is>
          <t>碳水化合物(22g)、脂肪(8g)</t>
        </is>
      </c>
      <c r="J261" s="5" t="inlineStr">
        <is>
          <t>辣椒素、钠高</t>
        </is>
      </c>
      <c r="K261" s="5" t="inlineStr">
        <is>
          <t>干锅系列，用油较多</t>
        </is>
      </c>
      <c r="L261" s="5" t="inlineStr">
        <is>
          <t>土豆、猪腿肉（瘦）、菜籽油</t>
        </is>
      </c>
    </row>
    <row r="262">
      <c r="A262" s="5" t="inlineStr">
        <is>
          <t>泡椒凤爪</t>
        </is>
      </c>
      <c r="B262" s="5" t="inlineStr">
        <is>
          <t>菜肴</t>
        </is>
      </c>
      <c r="C262" s="8" t="inlineStr">
        <is>
          <t>川菜</t>
        </is>
      </c>
      <c r="D262" s="7" t="n">
        <v>836</v>
      </c>
      <c r="E262" s="7" t="n">
        <v>200</v>
      </c>
      <c r="F262" s="7" t="n">
        <v>100</v>
      </c>
      <c r="G262" s="7">
        <f>ROUND(D262*F262/100,0)</f>
        <v/>
      </c>
      <c r="H262" s="7">
        <f>ROUND(E262*F262/100,0)</f>
        <v/>
      </c>
      <c r="I262" s="5" t="inlineStr">
        <is>
          <t>蛋白质(18g)、脂肪(12g)、胶原蛋白</t>
        </is>
      </c>
      <c r="J262" s="5" t="inlineStr">
        <is>
          <t>辣椒素、醋酸</t>
        </is>
      </c>
      <c r="K262" s="5" t="inlineStr">
        <is>
          <t>腌制食品，钠较高</t>
        </is>
      </c>
      <c r="L262" s="5" t="inlineStr">
        <is>
          <t>鸡翅（整翅）、红椒、醋</t>
        </is>
      </c>
    </row>
    <row r="263">
      <c r="A263" s="5" t="inlineStr">
        <is>
          <t>椒盐排骨</t>
        </is>
      </c>
      <c r="B263" s="5" t="inlineStr">
        <is>
          <t>菜肴</t>
        </is>
      </c>
      <c r="C263" s="8" t="inlineStr">
        <is>
          <t>川菜</t>
        </is>
      </c>
      <c r="D263" s="7" t="n">
        <v>1172</v>
      </c>
      <c r="E263" s="7" t="n">
        <v>280</v>
      </c>
      <c r="F263" s="7" t="n">
        <v>200</v>
      </c>
      <c r="G263" s="7">
        <f>ROUND(D263*F263/100,0)</f>
        <v/>
      </c>
      <c r="H263" s="7">
        <f>ROUND(E263*F263/100,0)</f>
        <v/>
      </c>
      <c r="I263" s="5" t="inlineStr">
        <is>
          <t>蛋白质(14g)、脂肪(20g)</t>
        </is>
      </c>
      <c r="J263" s="5" t="inlineStr">
        <is>
          <t>碳水化合物(10g)、钠高</t>
        </is>
      </c>
      <c r="K263" s="5" t="inlineStr">
        <is>
          <t>炸制，外皮酥脆</t>
        </is>
      </c>
      <c r="L263" s="5" t="inlineStr">
        <is>
          <t>猪大排、菜籽油</t>
        </is>
      </c>
    </row>
    <row r="264">
      <c r="A264" s="5" t="inlineStr">
        <is>
          <t>粉蒸排骨</t>
        </is>
      </c>
      <c r="B264" s="5" t="inlineStr">
        <is>
          <t>菜肴</t>
        </is>
      </c>
      <c r="C264" s="8" t="inlineStr">
        <is>
          <t>川菜</t>
        </is>
      </c>
      <c r="D264" s="7" t="n">
        <v>878</v>
      </c>
      <c r="E264" s="7" t="n">
        <v>210</v>
      </c>
      <c r="F264" s="7" t="n">
        <v>200</v>
      </c>
      <c r="G264" s="7">
        <f>ROUND(D264*F264/100,0)</f>
        <v/>
      </c>
      <c r="H264" s="7">
        <f>ROUND(E264*F264/100,0)</f>
        <v/>
      </c>
      <c r="I264" s="5" t="inlineStr">
        <is>
          <t>蛋白质(13g)、脂肪(14g)、碳水化合物(14g)</t>
        </is>
      </c>
      <c r="J264" s="5" t="inlineStr">
        <is>
          <t>B族维生素</t>
        </is>
      </c>
      <c r="K264" s="5" t="inlineStr">
        <is>
          <t>米粉裹衣蒸制</t>
        </is>
      </c>
      <c r="L264" s="5" t="inlineStr">
        <is>
          <t>猪大排、大米</t>
        </is>
      </c>
    </row>
    <row r="265">
      <c r="A265" s="5" t="inlineStr">
        <is>
          <t>酸汤肥牛</t>
        </is>
      </c>
      <c r="B265" s="5" t="inlineStr">
        <is>
          <t>菜肴</t>
        </is>
      </c>
      <c r="C265" s="8" t="inlineStr">
        <is>
          <t>川菜</t>
        </is>
      </c>
      <c r="D265" s="7" t="n">
        <v>628</v>
      </c>
      <c r="E265" s="7" t="n">
        <v>150</v>
      </c>
      <c r="F265" s="7" t="n">
        <v>300</v>
      </c>
      <c r="G265" s="7">
        <f>ROUND(D265*F265/100,0)</f>
        <v/>
      </c>
      <c r="H265" s="7">
        <f>ROUND(E265*F265/100,0)</f>
        <v/>
      </c>
      <c r="I265" s="5" t="inlineStr">
        <is>
          <t>蛋白质(14g)、脂肪(9g)</t>
        </is>
      </c>
      <c r="J265" s="5" t="inlineStr">
        <is>
          <t>番茄红素、醋酸</t>
        </is>
      </c>
      <c r="K265" s="5" t="inlineStr">
        <is>
          <t>酸汤底，热量低于红汤</t>
        </is>
      </c>
      <c r="L265" s="5" t="inlineStr">
        <is>
          <t>牛里脊、番茄</t>
        </is>
      </c>
    </row>
    <row r="266">
      <c r="A266" s="5" t="inlineStr">
        <is>
          <t>冷锅串串</t>
        </is>
      </c>
      <c r="B266" s="5" t="inlineStr">
        <is>
          <t>菜肴</t>
        </is>
      </c>
      <c r="C266" s="8" t="inlineStr">
        <is>
          <t>川菜</t>
        </is>
      </c>
      <c r="D266" s="7" t="n">
        <v>502</v>
      </c>
      <c r="E266" s="7" t="n">
        <v>120</v>
      </c>
      <c r="F266" s="7" t="n">
        <v>300</v>
      </c>
      <c r="G266" s="7">
        <f>ROUND(D266*F266/100,0)</f>
        <v/>
      </c>
      <c r="H266" s="7">
        <f>ROUND(E266*F266/100,0)</f>
        <v/>
      </c>
      <c r="I266" s="5" t="inlineStr">
        <is>
          <t>蛋白质(9g)、碳水化合物(10g)</t>
        </is>
      </c>
      <c r="J266" s="5" t="inlineStr">
        <is>
          <t>脂肪(7g)、钠高</t>
        </is>
      </c>
      <c r="K266" s="5" t="inlineStr">
        <is>
          <t>冷食版串串，调料热量高</t>
        </is>
      </c>
      <c r="L266" s="5" t="inlineStr">
        <is>
          <t>各类食材、芝麻酱、辣椒油</t>
        </is>
      </c>
    </row>
    <row r="267">
      <c r="A267" s="5" t="inlineStr">
        <is>
          <t>夫妻肺片（川式）</t>
        </is>
      </c>
      <c r="B267" s="5" t="inlineStr">
        <is>
          <t>菜肴</t>
        </is>
      </c>
      <c r="C267" s="8" t="inlineStr">
        <is>
          <t>川菜</t>
        </is>
      </c>
      <c r="D267" s="7" t="n">
        <v>795</v>
      </c>
      <c r="E267" s="7" t="n">
        <v>190</v>
      </c>
      <c r="F267" s="7" t="n">
        <v>150</v>
      </c>
      <c r="G267" s="7">
        <f>ROUND(D267*F267/100,0)</f>
        <v/>
      </c>
      <c r="H267" s="7">
        <f>ROUND(E267*F267/100,0)</f>
        <v/>
      </c>
      <c r="I267" s="5" t="inlineStr">
        <is>
          <t>蛋白质(16g)、脂肪(12g)</t>
        </is>
      </c>
      <c r="J267" s="5" t="inlineStr">
        <is>
          <t>辣椒素、芝麻、花椒</t>
        </is>
      </c>
      <c r="K267" s="5" t="inlineStr">
        <is>
          <t>内脏类，胆固醇较高</t>
        </is>
      </c>
      <c r="L267" s="5" t="inlineStr">
        <is>
          <t>牛肚、牛肝、辣椒油</t>
        </is>
      </c>
    </row>
    <row r="268">
      <c r="A268" s="5" t="inlineStr">
        <is>
          <t>蒜泥白肉（川式）</t>
        </is>
      </c>
      <c r="B268" s="5" t="inlineStr">
        <is>
          <t>菜肴</t>
        </is>
      </c>
      <c r="C268" s="8" t="inlineStr">
        <is>
          <t>川菜</t>
        </is>
      </c>
      <c r="D268" s="7" t="n">
        <v>920</v>
      </c>
      <c r="E268" s="7" t="n">
        <v>220</v>
      </c>
      <c r="F268" s="7" t="n">
        <v>150</v>
      </c>
      <c r="G268" s="7">
        <f>ROUND(D268*F268/100,0)</f>
        <v/>
      </c>
      <c r="H268" s="7">
        <f>ROUND(E268*F268/100,0)</f>
        <v/>
      </c>
      <c r="I268" s="5" t="inlineStr">
        <is>
          <t>脂肪(18g)、蛋白质(14g)</t>
        </is>
      </c>
      <c r="J268" s="5" t="inlineStr">
        <is>
          <t>大蒜素、辣椒素</t>
        </is>
      </c>
      <c r="K268" s="5" t="inlineStr">
        <is>
          <t>五花肉为主，红油浇淋</t>
        </is>
      </c>
      <c r="L268" s="5" t="inlineStr">
        <is>
          <t>猪五花肉、大蒜、辣椒油</t>
        </is>
      </c>
    </row>
    <row r="269">
      <c r="A269" s="5" t="inlineStr">
        <is>
          <t>湘西土匪鸭</t>
        </is>
      </c>
      <c r="B269" s="5" t="inlineStr">
        <is>
          <t>菜肴</t>
        </is>
      </c>
      <c r="C269" s="14" t="inlineStr">
        <is>
          <t>湘菜</t>
        </is>
      </c>
      <c r="D269" s="7" t="n">
        <v>878</v>
      </c>
      <c r="E269" s="7" t="n">
        <v>210</v>
      </c>
      <c r="F269" s="7" t="n">
        <v>200</v>
      </c>
      <c r="G269" s="7">
        <f>ROUND(D269*F269/100,0)</f>
        <v/>
      </c>
      <c r="H269" s="7">
        <f>ROUND(E269*F269/100,0)</f>
        <v/>
      </c>
      <c r="I269" s="5" t="inlineStr">
        <is>
          <t>蛋白质(16g)、脂肪(14g)</t>
        </is>
      </c>
      <c r="J269" s="5" t="inlineStr">
        <is>
          <t>辣椒素、花椒、钠高</t>
        </is>
      </c>
      <c r="K269" s="5" t="inlineStr">
        <is>
          <t>重口味，香辣干烧</t>
        </is>
      </c>
      <c r="L269" s="5" t="inlineStr">
        <is>
          <t>鸭肉（去皮）、青椒、豆瓣酱</t>
        </is>
      </c>
    </row>
    <row r="270">
      <c r="A270" s="5" t="inlineStr">
        <is>
          <t>农家小炒肉</t>
        </is>
      </c>
      <c r="B270" s="5" t="inlineStr">
        <is>
          <t>菜肴</t>
        </is>
      </c>
      <c r="C270" s="14" t="inlineStr">
        <is>
          <t>湘菜</t>
        </is>
      </c>
      <c r="D270" s="7" t="n">
        <v>878</v>
      </c>
      <c r="E270" s="7" t="n">
        <v>210</v>
      </c>
      <c r="F270" s="7" t="n">
        <v>200</v>
      </c>
      <c r="G270" s="7">
        <f>ROUND(D270*F270/100,0)</f>
        <v/>
      </c>
      <c r="H270" s="7">
        <f>ROUND(E270*F270/100,0)</f>
        <v/>
      </c>
      <c r="I270" s="5" t="inlineStr">
        <is>
          <t>脂肪(15g)、蛋白质(14g)</t>
        </is>
      </c>
      <c r="J270" s="5" t="inlineStr">
        <is>
          <t>辣椒素、钠高</t>
        </is>
      </c>
      <c r="K270" s="5" t="inlineStr">
        <is>
          <t>五花肉+青椒，家常湘味</t>
        </is>
      </c>
      <c r="L270" s="5" t="inlineStr">
        <is>
          <t>猪五花肉、青椒、豆瓣酱</t>
        </is>
      </c>
    </row>
    <row r="271">
      <c r="A271" s="5" t="inlineStr">
        <is>
          <t>干锅牛蛙</t>
        </is>
      </c>
      <c r="B271" s="5" t="inlineStr">
        <is>
          <t>菜肴</t>
        </is>
      </c>
      <c r="C271" s="14" t="inlineStr">
        <is>
          <t>湘菜</t>
        </is>
      </c>
      <c r="D271" s="7" t="n">
        <v>753</v>
      </c>
      <c r="E271" s="7" t="n">
        <v>180</v>
      </c>
      <c r="F271" s="7" t="n">
        <v>250</v>
      </c>
      <c r="G271" s="7">
        <f>ROUND(D271*F271/100,0)</f>
        <v/>
      </c>
      <c r="H271" s="7">
        <f>ROUND(E271*F271/100,0)</f>
        <v/>
      </c>
      <c r="I271" s="5" t="inlineStr">
        <is>
          <t>蛋白质(18g)、脂肪(10g)</t>
        </is>
      </c>
      <c r="J271" s="5" t="inlineStr">
        <is>
          <t>辣椒素、钠高</t>
        </is>
      </c>
      <c r="K271" s="5" t="inlineStr">
        <is>
          <t>高蛋白低脂（牛蛙本身）</t>
        </is>
      </c>
      <c r="L271" s="5" t="inlineStr">
        <is>
          <t>牛腩、青椒、菜籽油</t>
        </is>
      </c>
    </row>
    <row r="272">
      <c r="A272" s="5" t="inlineStr">
        <is>
          <t>擂辣椒皮蛋</t>
        </is>
      </c>
      <c r="B272" s="5" t="inlineStr">
        <is>
          <t>菜肴</t>
        </is>
      </c>
      <c r="C272" s="14" t="inlineStr">
        <is>
          <t>湘菜</t>
        </is>
      </c>
      <c r="D272" s="7" t="n">
        <v>502</v>
      </c>
      <c r="E272" s="7" t="n">
        <v>120</v>
      </c>
      <c r="F272" s="7" t="n">
        <v>150</v>
      </c>
      <c r="G272" s="7">
        <f>ROUND(D272*F272/100,0)</f>
        <v/>
      </c>
      <c r="H272" s="7">
        <f>ROUND(E272*F272/100,0)</f>
        <v/>
      </c>
      <c r="I272" s="5" t="inlineStr">
        <is>
          <t>蛋白质(9g)、脂肪(9g)</t>
        </is>
      </c>
      <c r="J272" s="5" t="inlineStr">
        <is>
          <t>辣椒素、少量铅（皮蛋）</t>
        </is>
      </c>
      <c r="K272" s="5" t="inlineStr">
        <is>
          <t>湘式凉拌</t>
        </is>
      </c>
      <c r="L272" s="5" t="inlineStr">
        <is>
          <t>皮蛋、青椒</t>
        </is>
      </c>
    </row>
    <row r="273">
      <c r="A273" s="5" t="inlineStr">
        <is>
          <t>毛氏红烧肉</t>
        </is>
      </c>
      <c r="B273" s="5" t="inlineStr">
        <is>
          <t>菜肴</t>
        </is>
      </c>
      <c r="C273" s="14" t="inlineStr">
        <is>
          <t>湘菜</t>
        </is>
      </c>
      <c r="D273" s="7" t="n">
        <v>1381</v>
      </c>
      <c r="E273" s="7" t="n">
        <v>330</v>
      </c>
      <c r="F273" s="7" t="n">
        <v>150</v>
      </c>
      <c r="G273" s="7">
        <f>ROUND(D273*F273/100,0)</f>
        <v/>
      </c>
      <c r="H273" s="7">
        <f>ROUND(E273*F273/100,0)</f>
        <v/>
      </c>
      <c r="I273" s="5" t="inlineStr">
        <is>
          <t>脂肪(28g)、蛋白质(14g)</t>
        </is>
      </c>
      <c r="J273" s="5" t="inlineStr">
        <is>
          <t>糖、钠较高</t>
        </is>
      </c>
      <c r="K273" s="5" t="inlineStr">
        <is>
          <t>比苏式红烧肉更甜辣</t>
        </is>
      </c>
      <c r="L273" s="5" t="inlineStr">
        <is>
          <t>猪五花肉、生抽（酱油）</t>
        </is>
      </c>
    </row>
    <row r="274">
      <c r="A274" s="5" t="inlineStr">
        <is>
          <t>酸辣猪血</t>
        </is>
      </c>
      <c r="B274" s="5" t="inlineStr">
        <is>
          <t>菜肴</t>
        </is>
      </c>
      <c r="C274" s="14" t="inlineStr">
        <is>
          <t>湘菜</t>
        </is>
      </c>
      <c r="D274" s="7" t="n">
        <v>251</v>
      </c>
      <c r="E274" s="7" t="n">
        <v>60</v>
      </c>
      <c r="F274" s="7" t="n">
        <v>200</v>
      </c>
      <c r="G274" s="7">
        <f>ROUND(D274*F274/100,0)</f>
        <v/>
      </c>
      <c r="H274" s="7">
        <f>ROUND(E274*F274/100,0)</f>
        <v/>
      </c>
      <c r="I274" s="5" t="inlineStr">
        <is>
          <t>蛋白质(6g)、铁(极高8mg)</t>
        </is>
      </c>
      <c r="J274" s="5" t="inlineStr">
        <is>
          <t>维生素B12、钠高</t>
        </is>
      </c>
      <c r="K274" s="5" t="inlineStr">
        <is>
          <t>铁的优质来源</t>
        </is>
      </c>
      <c r="L274" s="5" t="inlineStr">
        <is>
          <t>猪血、醋、辣椒油</t>
        </is>
      </c>
    </row>
    <row r="275">
      <c r="A275" s="5" t="inlineStr">
        <is>
          <t>豉汁蒸排骨</t>
        </is>
      </c>
      <c r="B275" s="5" t="inlineStr">
        <is>
          <t>菜肴</t>
        </is>
      </c>
      <c r="C275" s="10" t="inlineStr">
        <is>
          <t>粤菜</t>
        </is>
      </c>
      <c r="D275" s="7" t="n">
        <v>753</v>
      </c>
      <c r="E275" s="7" t="n">
        <v>180</v>
      </c>
      <c r="F275" s="7" t="n">
        <v>200</v>
      </c>
      <c r="G275" s="7">
        <f>ROUND(D275*F275/100,0)</f>
        <v/>
      </c>
      <c r="H275" s="7">
        <f>ROUND(E275*F275/100,0)</f>
        <v/>
      </c>
      <c r="I275" s="5" t="inlineStr">
        <is>
          <t>蛋白质(14g)、脂肪(11g)</t>
        </is>
      </c>
      <c r="J275" s="5" t="inlineStr">
        <is>
          <t>豆豉钠高、磷</t>
        </is>
      </c>
      <c r="K275" s="5" t="inlineStr">
        <is>
          <t>广式早茶常见</t>
        </is>
      </c>
      <c r="L275" s="5" t="inlineStr">
        <is>
          <t>猪大排、豆豉</t>
        </is>
      </c>
    </row>
    <row r="276">
      <c r="A276" s="5" t="inlineStr">
        <is>
          <t>虾饺</t>
        </is>
      </c>
      <c r="B276" s="5" t="inlineStr">
        <is>
          <t>菜肴</t>
        </is>
      </c>
      <c r="C276" s="10" t="inlineStr">
        <is>
          <t>粤菜</t>
        </is>
      </c>
      <c r="D276" s="7" t="n">
        <v>628</v>
      </c>
      <c r="E276" s="7" t="n">
        <v>150</v>
      </c>
      <c r="F276" s="7" t="n">
        <v>100</v>
      </c>
      <c r="G276" s="7">
        <f>ROUND(D276*F276/100,0)</f>
        <v/>
      </c>
      <c r="H276" s="7">
        <f>ROUND(E276*F276/100,0)</f>
        <v/>
      </c>
      <c r="I276" s="5" t="inlineStr">
        <is>
          <t>蛋白质(10g)、碳水化合物(17g)</t>
        </is>
      </c>
      <c r="J276" s="5" t="inlineStr">
        <is>
          <t>脂肪(5g)、锌</t>
        </is>
      </c>
      <c r="K276" s="5" t="inlineStr">
        <is>
          <t>早茶点心，蒸制</t>
        </is>
      </c>
      <c r="L276" s="5" t="inlineStr">
        <is>
          <t>虾（大虾）、面粉</t>
        </is>
      </c>
    </row>
    <row r="277">
      <c r="A277" s="5" t="inlineStr">
        <is>
          <t>叉烧肉</t>
        </is>
      </c>
      <c r="B277" s="5" t="inlineStr">
        <is>
          <t>菜肴</t>
        </is>
      </c>
      <c r="C277" s="10" t="inlineStr">
        <is>
          <t>粤菜</t>
        </is>
      </c>
      <c r="D277" s="7" t="n">
        <v>1046</v>
      </c>
      <c r="E277" s="7" t="n">
        <v>250</v>
      </c>
      <c r="F277" s="7" t="n">
        <v>100</v>
      </c>
      <c r="G277" s="7">
        <f>ROUND(D277*F277/100,0)</f>
        <v/>
      </c>
      <c r="H277" s="7">
        <f>ROUND(E277*F277/100,0)</f>
        <v/>
      </c>
      <c r="I277" s="5" t="inlineStr">
        <is>
          <t>蛋白质(17g)、脂肪(14g)</t>
        </is>
      </c>
      <c r="J277" s="5" t="inlineStr">
        <is>
          <t>糖(12g)、钠较高</t>
        </is>
      </c>
      <c r="K277" s="5" t="inlineStr">
        <is>
          <t>蜜汁烤制，含糖较高</t>
        </is>
      </c>
      <c r="L277" s="5" t="inlineStr">
        <is>
          <t>猪里脊、蜂蜜、生抽（酱油）</t>
        </is>
      </c>
    </row>
    <row r="278">
      <c r="A278" s="5" t="inlineStr">
        <is>
          <t>白灼鱿鱼</t>
        </is>
      </c>
      <c r="B278" s="5" t="inlineStr">
        <is>
          <t>菜肴</t>
        </is>
      </c>
      <c r="C278" s="10" t="inlineStr">
        <is>
          <t>粤菜</t>
        </is>
      </c>
      <c r="D278" s="7" t="n">
        <v>418</v>
      </c>
      <c r="E278" s="7" t="n">
        <v>100</v>
      </c>
      <c r="F278" s="7" t="n">
        <v>200</v>
      </c>
      <c r="G278" s="7">
        <f>ROUND(D278*F278/100,0)</f>
        <v/>
      </c>
      <c r="H278" s="7">
        <f>ROUND(E278*F278/100,0)</f>
        <v/>
      </c>
      <c r="I278" s="5" t="inlineStr">
        <is>
          <t>蛋白质(17g)、脂肪(1g)</t>
        </is>
      </c>
      <c r="J278" s="5" t="inlineStr">
        <is>
          <t>锌、硒、牛磺酸</t>
        </is>
      </c>
      <c r="K278" s="5" t="inlineStr">
        <is>
          <t>低热量海鲜，蘸料钠高</t>
        </is>
      </c>
      <c r="L278" s="5" t="inlineStr">
        <is>
          <t>鱿鱼（鲜）</t>
        </is>
      </c>
    </row>
    <row r="279">
      <c r="A279" s="5" t="inlineStr">
        <is>
          <t>姜葱炒蟹</t>
        </is>
      </c>
      <c r="B279" s="5" t="inlineStr">
        <is>
          <t>菜肴</t>
        </is>
      </c>
      <c r="C279" s="10" t="inlineStr">
        <is>
          <t>粤菜</t>
        </is>
      </c>
      <c r="D279" s="7" t="n">
        <v>628</v>
      </c>
      <c r="E279" s="7" t="n">
        <v>150</v>
      </c>
      <c r="F279" s="7" t="n">
        <v>250</v>
      </c>
      <c r="G279" s="7">
        <f>ROUND(D279*F279/100,0)</f>
        <v/>
      </c>
      <c r="H279" s="7">
        <f>ROUND(E279*F279/100,0)</f>
        <v/>
      </c>
      <c r="I279" s="5" t="inlineStr">
        <is>
          <t>蛋白质(13g)、脂肪(7g)</t>
        </is>
      </c>
      <c r="J279" s="5" t="inlineStr">
        <is>
          <t>锌、牛磺酸</t>
        </is>
      </c>
      <c r="K279" s="5" t="inlineStr">
        <is>
          <t>姜葱用油适中</t>
        </is>
      </c>
      <c r="L279" s="5" t="inlineStr">
        <is>
          <t>螃蟹（河蟹）、生姜、香葱/小葱</t>
        </is>
      </c>
    </row>
    <row r="280">
      <c r="A280" s="5" t="inlineStr">
        <is>
          <t>清远鸡白斩</t>
        </is>
      </c>
      <c r="B280" s="5" t="inlineStr">
        <is>
          <t>菜肴</t>
        </is>
      </c>
      <c r="C280" s="10" t="inlineStr">
        <is>
          <t>粤菜</t>
        </is>
      </c>
      <c r="D280" s="7" t="n">
        <v>753</v>
      </c>
      <c r="E280" s="7" t="n">
        <v>180</v>
      </c>
      <c r="F280" s="7" t="n">
        <v>200</v>
      </c>
      <c r="G280" s="7">
        <f>ROUND(D280*F280/100,0)</f>
        <v/>
      </c>
      <c r="H280" s="7">
        <f>ROUND(E280*F280/100,0)</f>
        <v/>
      </c>
      <c r="I280" s="5" t="inlineStr">
        <is>
          <t>蛋白质(20g)、脂肪(10g)</t>
        </is>
      </c>
      <c r="J280" s="5" t="inlineStr">
        <is>
          <t>烟酸、磷</t>
        </is>
      </c>
      <c r="K280" s="5" t="inlineStr">
        <is>
          <t>走地鸡，皮下脂肪较多</t>
        </is>
      </c>
      <c r="L280" s="5" t="inlineStr">
        <is>
          <t>鸡腿肉（去皮）</t>
        </is>
      </c>
    </row>
    <row r="281">
      <c r="A281" s="5" t="inlineStr">
        <is>
          <t>荷叶糯米鸡</t>
        </is>
      </c>
      <c r="B281" s="5" t="inlineStr">
        <is>
          <t>菜肴</t>
        </is>
      </c>
      <c r="C281" s="10" t="inlineStr">
        <is>
          <t>粤菜</t>
        </is>
      </c>
      <c r="D281" s="7" t="n">
        <v>1046</v>
      </c>
      <c r="E281" s="7" t="n">
        <v>250</v>
      </c>
      <c r="F281" s="7" t="n">
        <v>150</v>
      </c>
      <c r="G281" s="7">
        <f>ROUND(D281*F281/100,0)</f>
        <v/>
      </c>
      <c r="H281" s="7">
        <f>ROUND(E281*F281/100,0)</f>
        <v/>
      </c>
      <c r="I281" s="5" t="inlineStr">
        <is>
          <t>碳水化合物(30g)、脂肪(12g)</t>
        </is>
      </c>
      <c r="J281" s="5" t="inlineStr">
        <is>
          <t>蛋白质(10g)</t>
        </is>
      </c>
      <c r="K281" s="5" t="inlineStr">
        <is>
          <t>糯米+鸡肉+叉烧，高热量</t>
        </is>
      </c>
      <c r="L281" s="5" t="inlineStr">
        <is>
          <t>糯米、鸡腿肉（去皮）、猪里脊</t>
        </is>
      </c>
    </row>
    <row r="282">
      <c r="A282" s="5" t="inlineStr">
        <is>
          <t>东坡肉</t>
        </is>
      </c>
      <c r="B282" s="5" t="inlineStr">
        <is>
          <t>菜肴</t>
        </is>
      </c>
      <c r="C282" s="11" t="inlineStr">
        <is>
          <t>浙菜</t>
        </is>
      </c>
      <c r="D282" s="7" t="n">
        <v>1381</v>
      </c>
      <c r="E282" s="7" t="n">
        <v>330</v>
      </c>
      <c r="F282" s="7" t="n">
        <v>150</v>
      </c>
      <c r="G282" s="7">
        <f>ROUND(D282*F282/100,0)</f>
        <v/>
      </c>
      <c r="H282" s="7">
        <f>ROUND(E282*F282/100,0)</f>
        <v/>
      </c>
      <c r="I282" s="5" t="inlineStr">
        <is>
          <t>脂肪(28g)、蛋白质(14g)</t>
        </is>
      </c>
      <c r="J282" s="5" t="inlineStr">
        <is>
          <t>胶原蛋白、糖</t>
        </is>
      </c>
      <c r="K282" s="5" t="inlineStr">
        <is>
          <t>杭帮名菜，甜味红烧</t>
        </is>
      </c>
      <c r="L282" s="5" t="inlineStr">
        <is>
          <t>猪五花肉、生抽（酱油）、白糖</t>
        </is>
      </c>
    </row>
    <row r="283">
      <c r="A283" s="5" t="inlineStr">
        <is>
          <t>西湖醋鱼</t>
        </is>
      </c>
      <c r="B283" s="5" t="inlineStr">
        <is>
          <t>菜肴</t>
        </is>
      </c>
      <c r="C283" s="11" t="inlineStr">
        <is>
          <t>浙菜</t>
        </is>
      </c>
      <c r="D283" s="7" t="n">
        <v>628</v>
      </c>
      <c r="E283" s="7" t="n">
        <v>150</v>
      </c>
      <c r="F283" s="7" t="n">
        <v>200</v>
      </c>
      <c r="G283" s="7">
        <f>ROUND(D283*F283/100,0)</f>
        <v/>
      </c>
      <c r="H283" s="7">
        <f>ROUND(E283*F283/100,0)</f>
        <v/>
      </c>
      <c r="I283" s="5" t="inlineStr">
        <is>
          <t>蛋白质(17g)、脂肪(4g)</t>
        </is>
      </c>
      <c r="J283" s="5" t="inlineStr">
        <is>
          <t>DHA、糖醋汁</t>
        </is>
      </c>
      <c r="K283" s="5" t="inlineStr">
        <is>
          <t>糖醋口，鱼本身低脂</t>
        </is>
      </c>
      <c r="L283" s="5" t="inlineStr">
        <is>
          <t>草鱼、白糖、醋</t>
        </is>
      </c>
    </row>
    <row r="284">
      <c r="A284" s="5" t="inlineStr">
        <is>
          <t>龙井虾仁</t>
        </is>
      </c>
      <c r="B284" s="5" t="inlineStr">
        <is>
          <t>菜肴</t>
        </is>
      </c>
      <c r="C284" s="11" t="inlineStr">
        <is>
          <t>浙菜</t>
        </is>
      </c>
      <c r="D284" s="7" t="n">
        <v>502</v>
      </c>
      <c r="E284" s="7" t="n">
        <v>120</v>
      </c>
      <c r="F284" s="7" t="n">
        <v>150</v>
      </c>
      <c r="G284" s="7">
        <f>ROUND(D284*F284/100,0)</f>
        <v/>
      </c>
      <c r="H284" s="7">
        <f>ROUND(E284*F284/100,0)</f>
        <v/>
      </c>
      <c r="I284" s="5" t="inlineStr">
        <is>
          <t>蛋白质(18g)、脂肪(5g)</t>
        </is>
      </c>
      <c r="J284" s="5" t="inlineStr">
        <is>
          <t>茶多酚、牛磺酸、锌</t>
        </is>
      </c>
      <c r="K284" s="5" t="inlineStr">
        <is>
          <t>清淡炒制</t>
        </is>
      </c>
      <c r="L284" s="5" t="inlineStr">
        <is>
          <t>虾（大虾）</t>
        </is>
      </c>
    </row>
    <row r="285">
      <c r="A285" s="5" t="inlineStr">
        <is>
          <t>宋嫂鱼羹</t>
        </is>
      </c>
      <c r="B285" s="5" t="inlineStr">
        <is>
          <t>菜肴</t>
        </is>
      </c>
      <c r="C285" s="11" t="inlineStr">
        <is>
          <t>浙菜</t>
        </is>
      </c>
      <c r="D285" s="7" t="n">
        <v>334</v>
      </c>
      <c r="E285" s="7" t="n">
        <v>80</v>
      </c>
      <c r="F285" s="7" t="n">
        <v>300</v>
      </c>
      <c r="G285" s="7">
        <f>ROUND(D285*F285/100,0)</f>
        <v/>
      </c>
      <c r="H285" s="7">
        <f>ROUND(E285*F285/100,0)</f>
        <v/>
      </c>
      <c r="I285" s="5" t="inlineStr">
        <is>
          <t>蛋白质(8g)、碳水化合物(8g)</t>
        </is>
      </c>
      <c r="J285" s="5" t="inlineStr">
        <is>
          <t>DHA、淀粉勾芡</t>
        </is>
      </c>
      <c r="K285" s="5" t="inlineStr">
        <is>
          <t>低热量羹汤</t>
        </is>
      </c>
      <c r="L285" s="5" t="inlineStr">
        <is>
          <t>草鱼</t>
        </is>
      </c>
    </row>
    <row r="286">
      <c r="A286" s="5" t="inlineStr">
        <is>
          <t>松鼠桂鱼</t>
        </is>
      </c>
      <c r="B286" s="5" t="inlineStr">
        <is>
          <t>菜肴</t>
        </is>
      </c>
      <c r="C286" s="9" t="inlineStr">
        <is>
          <t>苏菜</t>
        </is>
      </c>
      <c r="D286" s="7" t="n">
        <v>1046</v>
      </c>
      <c r="E286" s="7" t="n">
        <v>250</v>
      </c>
      <c r="F286" s="7" t="n">
        <v>200</v>
      </c>
      <c r="G286" s="7">
        <f>ROUND(D286*F286/100,0)</f>
        <v/>
      </c>
      <c r="H286" s="7">
        <f>ROUND(E286*F286/100,0)</f>
        <v/>
      </c>
      <c r="I286" s="5" t="inlineStr">
        <is>
          <t>蛋白质(15g)、碳水化合物(20g)</t>
        </is>
      </c>
      <c r="J286" s="5" t="inlineStr">
        <is>
          <t>脂肪(12g)、DHA</t>
        </is>
      </c>
      <c r="K286" s="5" t="inlineStr">
        <is>
          <t>油炸+糖醋，高热量</t>
        </is>
      </c>
      <c r="L286" s="5" t="inlineStr">
        <is>
          <t>草鱼、白糖、醋、菜籽油</t>
        </is>
      </c>
    </row>
    <row r="287">
      <c r="A287" s="5" t="inlineStr">
        <is>
          <t>清炖蟹粉狮子头</t>
        </is>
      </c>
      <c r="B287" s="5" t="inlineStr">
        <is>
          <t>菜肴</t>
        </is>
      </c>
      <c r="C287" s="9" t="inlineStr">
        <is>
          <t>苏菜</t>
        </is>
      </c>
      <c r="D287" s="7" t="n">
        <v>1172</v>
      </c>
      <c r="E287" s="7" t="n">
        <v>280</v>
      </c>
      <c r="F287" s="7" t="n">
        <v>200</v>
      </c>
      <c r="G287" s="7">
        <f>ROUND(D287*F287/100,0)</f>
        <v/>
      </c>
      <c r="H287" s="7">
        <f>ROUND(E287*F287/100,0)</f>
        <v/>
      </c>
      <c r="I287" s="5" t="inlineStr">
        <is>
          <t>蛋白质(15g)、脂肪(20g)</t>
        </is>
      </c>
      <c r="J287" s="5" t="inlineStr">
        <is>
          <t>DHA（蟹）、磷</t>
        </is>
      </c>
      <c r="K287" s="5" t="inlineStr">
        <is>
          <t>猪肉丸清炖，清淡鲜美</t>
        </is>
      </c>
      <c r="L287" s="5" t="inlineStr">
        <is>
          <t>猪腿肉（瘦）、螃蟹（河蟹）</t>
        </is>
      </c>
    </row>
    <row r="288">
      <c r="A288" s="5" t="inlineStr">
        <is>
          <t>盐水鸭（南京）</t>
        </is>
      </c>
      <c r="B288" s="5" t="inlineStr">
        <is>
          <t>菜肴</t>
        </is>
      </c>
      <c r="C288" s="9" t="inlineStr">
        <is>
          <t>苏菜</t>
        </is>
      </c>
      <c r="D288" s="7" t="n">
        <v>878</v>
      </c>
      <c r="E288" s="7" t="n">
        <v>210</v>
      </c>
      <c r="F288" s="7" t="n">
        <v>150</v>
      </c>
      <c r="G288" s="7">
        <f>ROUND(D288*F288/100,0)</f>
        <v/>
      </c>
      <c r="H288" s="7">
        <f>ROUND(E288*F288/100,0)</f>
        <v/>
      </c>
      <c r="I288" s="5" t="inlineStr">
        <is>
          <t>蛋白质(20g)、脂肪(14g)</t>
        </is>
      </c>
      <c r="J288" s="5" t="inlineStr">
        <is>
          <t>钠较高、磷</t>
        </is>
      </c>
      <c r="K288" s="5" t="inlineStr">
        <is>
          <t>腌制风味，皮脂较多</t>
        </is>
      </c>
      <c r="L288" s="5" t="inlineStr">
        <is>
          <t>鸭肉（去皮）、食盐</t>
        </is>
      </c>
    </row>
    <row r="289">
      <c r="A289" s="5" t="inlineStr">
        <is>
          <t>淮扬狮子头（红烧）</t>
        </is>
      </c>
      <c r="B289" s="5" t="inlineStr">
        <is>
          <t>菜肴</t>
        </is>
      </c>
      <c r="C289" s="9" t="inlineStr">
        <is>
          <t>苏菜</t>
        </is>
      </c>
      <c r="D289" s="7" t="n">
        <v>1172</v>
      </c>
      <c r="E289" s="7" t="n">
        <v>280</v>
      </c>
      <c r="F289" s="7" t="n">
        <v>200</v>
      </c>
      <c r="G289" s="7">
        <f>ROUND(D289*F289/100,0)</f>
        <v/>
      </c>
      <c r="H289" s="7">
        <f>ROUND(E289*F289/100,0)</f>
        <v/>
      </c>
      <c r="I289" s="5" t="inlineStr">
        <is>
          <t>蛋白质(14g)、脂肪(22g)</t>
        </is>
      </c>
      <c r="J289" s="5" t="inlineStr">
        <is>
          <t>B族维生素</t>
        </is>
      </c>
      <c r="K289" s="5" t="inlineStr">
        <is>
          <t>红烧版热量高于清炖</t>
        </is>
      </c>
      <c r="L289" s="5" t="inlineStr">
        <is>
          <t>猪腿肉（瘦）、生抽（酱油）</t>
        </is>
      </c>
    </row>
    <row r="290">
      <c r="A290" s="5" t="inlineStr">
        <is>
          <t>糖醋鲤鱼</t>
        </is>
      </c>
      <c r="B290" s="5" t="inlineStr">
        <is>
          <t>菜肴</t>
        </is>
      </c>
      <c r="C290" s="13" t="inlineStr">
        <is>
          <t>鲁菜</t>
        </is>
      </c>
      <c r="D290" s="7" t="n">
        <v>920</v>
      </c>
      <c r="E290" s="7" t="n">
        <v>220</v>
      </c>
      <c r="F290" s="7" t="n">
        <v>250</v>
      </c>
      <c r="G290" s="7">
        <f>ROUND(D290*F290/100,0)</f>
        <v/>
      </c>
      <c r="H290" s="7">
        <f>ROUND(E290*F290/100,0)</f>
        <v/>
      </c>
      <c r="I290" s="5" t="inlineStr">
        <is>
          <t>蛋白质(14g)、脂肪(10g)</t>
        </is>
      </c>
      <c r="J290" s="5" t="inlineStr">
        <is>
          <t>碳水化合物(18g)、DHA</t>
        </is>
      </c>
      <c r="K290" s="5" t="inlineStr">
        <is>
          <t>炸鱼+糖醋汁</t>
        </is>
      </c>
      <c r="L290" s="5" t="inlineStr">
        <is>
          <t>鲤鱼、白糖、醋</t>
        </is>
      </c>
    </row>
    <row r="291">
      <c r="A291" s="5" t="inlineStr">
        <is>
          <t>葱烧海参</t>
        </is>
      </c>
      <c r="B291" s="5" t="inlineStr">
        <is>
          <t>菜肴</t>
        </is>
      </c>
      <c r="C291" s="13" t="inlineStr">
        <is>
          <t>鲁菜</t>
        </is>
      </c>
      <c r="D291" s="7" t="n">
        <v>251</v>
      </c>
      <c r="E291" s="7" t="n">
        <v>60</v>
      </c>
      <c r="F291" s="7" t="n">
        <v>150</v>
      </c>
      <c r="G291" s="7">
        <f>ROUND(D291*F291/100,0)</f>
        <v/>
      </c>
      <c r="H291" s="7">
        <f>ROUND(E291*F291/100,0)</f>
        <v/>
      </c>
      <c r="I291" s="5" t="inlineStr">
        <is>
          <t>蛋白质(12g)、脂肪(1g)</t>
        </is>
      </c>
      <c r="J291" s="5" t="inlineStr">
        <is>
          <t>胶原蛋白、多糖</t>
        </is>
      </c>
      <c r="K291" s="5" t="inlineStr">
        <is>
          <t>低脂高蛋白，葱油调味</t>
        </is>
      </c>
      <c r="L291" s="5" t="inlineStr">
        <is>
          <t>海参（鲜）、香葱/小葱</t>
        </is>
      </c>
    </row>
    <row r="292">
      <c r="A292" s="5" t="inlineStr">
        <is>
          <t>爆炒腰花</t>
        </is>
      </c>
      <c r="B292" s="5" t="inlineStr">
        <is>
          <t>菜肴</t>
        </is>
      </c>
      <c r="C292" s="13" t="inlineStr">
        <is>
          <t>鲁菜</t>
        </is>
      </c>
      <c r="D292" s="7" t="n">
        <v>502</v>
      </c>
      <c r="E292" s="7" t="n">
        <v>120</v>
      </c>
      <c r="F292" s="7" t="n">
        <v>150</v>
      </c>
      <c r="G292" s="7">
        <f>ROUND(D292*F292/100,0)</f>
        <v/>
      </c>
      <c r="H292" s="7">
        <f>ROUND(E292*F292/100,0)</f>
        <v/>
      </c>
      <c r="I292" s="5" t="inlineStr">
        <is>
          <t>蛋白质(15g)、脂肪(6g)</t>
        </is>
      </c>
      <c r="J292" s="5" t="inlineStr">
        <is>
          <t>铁、锌、维生素B12</t>
        </is>
      </c>
      <c r="K292" s="5" t="inlineStr">
        <is>
          <t>腰子，嘌呤较高</t>
        </is>
      </c>
      <c r="L292" s="5" t="inlineStr">
        <is>
          <t>猪肾、洋葱、菜籽油</t>
        </is>
      </c>
    </row>
    <row r="293">
      <c r="A293" s="5" t="inlineStr">
        <is>
          <t>九转大肠</t>
        </is>
      </c>
      <c r="B293" s="5" t="inlineStr">
        <is>
          <t>菜肴</t>
        </is>
      </c>
      <c r="C293" s="13" t="inlineStr">
        <is>
          <t>鲁菜</t>
        </is>
      </c>
      <c r="D293" s="7" t="n">
        <v>1046</v>
      </c>
      <c r="E293" s="7" t="n">
        <v>250</v>
      </c>
      <c r="F293" s="7" t="n">
        <v>150</v>
      </c>
      <c r="G293" s="7">
        <f>ROUND(D293*F293/100,0)</f>
        <v/>
      </c>
      <c r="H293" s="7">
        <f>ROUND(E293*F293/100,0)</f>
        <v/>
      </c>
      <c r="I293" s="5" t="inlineStr">
        <is>
          <t>脂肪(20g)、蛋白质(12g)</t>
        </is>
      </c>
      <c r="J293" s="5" t="inlineStr">
        <is>
          <t>胆固醇高、钠高</t>
        </is>
      </c>
      <c r="K293" s="5" t="inlineStr">
        <is>
          <t>内脏料理，重口味</t>
        </is>
      </c>
      <c r="L293" s="5" t="inlineStr">
        <is>
          <t>猪肾、醋、白糖</t>
        </is>
      </c>
    </row>
    <row r="294">
      <c r="A294" s="5" t="inlineStr">
        <is>
          <t>锅包肉</t>
        </is>
      </c>
      <c r="B294" s="5" t="inlineStr">
        <is>
          <t>菜肴</t>
        </is>
      </c>
      <c r="C294" s="12" t="inlineStr">
        <is>
          <t>东北菜</t>
        </is>
      </c>
      <c r="D294" s="7" t="n">
        <v>1046</v>
      </c>
      <c r="E294" s="7" t="n">
        <v>250</v>
      </c>
      <c r="F294" s="7" t="n">
        <v>200</v>
      </c>
      <c r="G294" s="7">
        <f>ROUND(D294*F294/100,0)</f>
        <v/>
      </c>
      <c r="H294" s="7">
        <f>ROUND(E294*F294/100,0)</f>
        <v/>
      </c>
      <c r="I294" s="5" t="inlineStr">
        <is>
          <t>碳水化合物(28g)、脂肪(12g)、蛋白质(12g)</t>
        </is>
      </c>
      <c r="J294" s="5" t="inlineStr">
        <is>
          <t>糖、钠高</t>
        </is>
      </c>
      <c r="K294" s="5" t="inlineStr">
        <is>
          <t>油炸+糖醋，东北特色</t>
        </is>
      </c>
      <c r="L294" s="5" t="inlineStr">
        <is>
          <t>猪里脊、菜籽油、白糖、醋</t>
        </is>
      </c>
    </row>
    <row r="295">
      <c r="A295" s="5" t="inlineStr">
        <is>
          <t>东北乱炖</t>
        </is>
      </c>
      <c r="B295" s="5" t="inlineStr">
        <is>
          <t>菜肴</t>
        </is>
      </c>
      <c r="C295" s="12" t="inlineStr">
        <is>
          <t>东北菜</t>
        </is>
      </c>
      <c r="D295" s="7" t="n">
        <v>502</v>
      </c>
      <c r="E295" s="7" t="n">
        <v>120</v>
      </c>
      <c r="F295" s="7" t="n">
        <v>350</v>
      </c>
      <c r="G295" s="7">
        <f>ROUND(D295*F295/100,0)</f>
        <v/>
      </c>
      <c r="H295" s="7">
        <f>ROUND(E295*F295/100,0)</f>
        <v/>
      </c>
      <c r="I295" s="5" t="inlineStr">
        <is>
          <t>蛋白质(8g)、碳水化合物(12g)</t>
        </is>
      </c>
      <c r="J295" s="5" t="inlineStr">
        <is>
          <t>脂肪(5g)、多种维生素</t>
        </is>
      </c>
      <c r="K295" s="5" t="inlineStr">
        <is>
          <t>食材丰富，热量适中</t>
        </is>
      </c>
      <c r="L295" s="5" t="inlineStr">
        <is>
          <t>猪腿肉（瘦）、土豆、茄子、番茄</t>
        </is>
      </c>
    </row>
    <row r="296">
      <c r="A296" s="5" t="inlineStr">
        <is>
          <t>猪肉炖酸菜</t>
        </is>
      </c>
      <c r="B296" s="5" t="inlineStr">
        <is>
          <t>菜肴</t>
        </is>
      </c>
      <c r="C296" s="12" t="inlineStr">
        <is>
          <t>东北菜</t>
        </is>
      </c>
      <c r="D296" s="7" t="n">
        <v>628</v>
      </c>
      <c r="E296" s="7" t="n">
        <v>150</v>
      </c>
      <c r="F296" s="7" t="n">
        <v>300</v>
      </c>
      <c r="G296" s="7">
        <f>ROUND(D296*F296/100,0)</f>
        <v/>
      </c>
      <c r="H296" s="7">
        <f>ROUND(E296*F296/100,0)</f>
        <v/>
      </c>
      <c r="I296" s="5" t="inlineStr">
        <is>
          <t>蛋白质(10g)、脂肪(10g)</t>
        </is>
      </c>
      <c r="J296" s="5" t="inlineStr">
        <is>
          <t>维生素C（酸菜）、钠高</t>
        </is>
      </c>
      <c r="K296" s="5" t="inlineStr">
        <is>
          <t>东北特色，酸菜低热量</t>
        </is>
      </c>
      <c r="L296" s="5" t="inlineStr">
        <is>
          <t>猪五花肉、酸菜</t>
        </is>
      </c>
    </row>
    <row r="297">
      <c r="A297" s="5" t="inlineStr">
        <is>
          <t>拆骨肉</t>
        </is>
      </c>
      <c r="B297" s="5" t="inlineStr">
        <is>
          <t>菜肴</t>
        </is>
      </c>
      <c r="C297" s="12" t="inlineStr">
        <is>
          <t>东北菜</t>
        </is>
      </c>
      <c r="D297" s="7" t="n">
        <v>878</v>
      </c>
      <c r="E297" s="7" t="n">
        <v>210</v>
      </c>
      <c r="F297" s="7" t="n">
        <v>200</v>
      </c>
      <c r="G297" s="7">
        <f>ROUND(D297*F297/100,0)</f>
        <v/>
      </c>
      <c r="H297" s="7">
        <f>ROUND(E297*F297/100,0)</f>
        <v/>
      </c>
      <c r="I297" s="5" t="inlineStr">
        <is>
          <t>蛋白质(18g)、脂肪(13g)</t>
        </is>
      </c>
      <c r="J297" s="5" t="inlineStr">
        <is>
          <t>胶原蛋白、磷</t>
        </is>
      </c>
      <c r="K297" s="5" t="inlineStr">
        <is>
          <t>炖至骨肉分离</t>
        </is>
      </c>
      <c r="L297" s="5" t="inlineStr">
        <is>
          <t>猪大排</t>
        </is>
      </c>
    </row>
    <row r="298">
      <c r="A298" s="5" t="inlineStr">
        <is>
          <t>新疆大盘鸡</t>
        </is>
      </c>
      <c r="B298" s="5" t="inlineStr">
        <is>
          <t>菜肴</t>
        </is>
      </c>
      <c r="C298" s="33" t="inlineStr">
        <is>
          <t>西北菜</t>
        </is>
      </c>
      <c r="D298" s="7" t="n">
        <v>753</v>
      </c>
      <c r="E298" s="7" t="n">
        <v>180</v>
      </c>
      <c r="F298" s="7" t="n">
        <v>350</v>
      </c>
      <c r="G298" s="7">
        <f>ROUND(D298*F298/100,0)</f>
        <v/>
      </c>
      <c r="H298" s="7">
        <f>ROUND(E298*F298/100,0)</f>
        <v/>
      </c>
      <c r="I298" s="5" t="inlineStr">
        <is>
          <t>蛋白质(14g)、碳水化合物(12g)</t>
        </is>
      </c>
      <c r="J298" s="5" t="inlineStr">
        <is>
          <t>脂肪(10g)、辣椒素</t>
        </is>
      </c>
      <c r="K298" s="5" t="inlineStr">
        <is>
          <t>配皮带面，热量叠加大</t>
        </is>
      </c>
      <c r="L298" s="5" t="inlineStr">
        <is>
          <t>鸡腿肉（去皮）、土豆、青椒</t>
        </is>
      </c>
    </row>
    <row r="299">
      <c r="A299" s="5" t="inlineStr">
        <is>
          <t>孜然羊肉</t>
        </is>
      </c>
      <c r="B299" s="5" t="inlineStr">
        <is>
          <t>菜肴</t>
        </is>
      </c>
      <c r="C299" s="33" t="inlineStr">
        <is>
          <t>西北菜</t>
        </is>
      </c>
      <c r="D299" s="7" t="n">
        <v>920</v>
      </c>
      <c r="E299" s="7" t="n">
        <v>220</v>
      </c>
      <c r="F299" s="7" t="n">
        <v>200</v>
      </c>
      <c r="G299" s="7">
        <f>ROUND(D299*F299/100,0)</f>
        <v/>
      </c>
      <c r="H299" s="7">
        <f>ROUND(E299*F299/100,0)</f>
        <v/>
      </c>
      <c r="I299" s="5" t="inlineStr">
        <is>
          <t>蛋白质(15g)、脂肪(16g)</t>
        </is>
      </c>
      <c r="J299" s="5" t="inlineStr">
        <is>
          <t>孜然素、铁</t>
        </is>
      </c>
      <c r="K299" s="5" t="inlineStr">
        <is>
          <t>爆炒，孜然增香</t>
        </is>
      </c>
      <c r="L299" s="5" t="inlineStr">
        <is>
          <t>羊腿肉、菜籽油</t>
        </is>
      </c>
    </row>
    <row r="300">
      <c r="A300" s="5" t="inlineStr">
        <is>
          <t>兰州牛肉面</t>
        </is>
      </c>
      <c r="B300" s="5" t="inlineStr">
        <is>
          <t>菜肴</t>
        </is>
      </c>
      <c r="C300" s="33" t="inlineStr">
        <is>
          <t>西北菜</t>
        </is>
      </c>
      <c r="D300" s="7" t="n">
        <v>628</v>
      </c>
      <c r="E300" s="7" t="n">
        <v>150</v>
      </c>
      <c r="F300" s="7" t="n">
        <v>500</v>
      </c>
      <c r="G300" s="7">
        <f>ROUND(D300*F300/100,0)</f>
        <v/>
      </c>
      <c r="H300" s="7">
        <f>ROUND(E300*F300/100,0)</f>
        <v/>
      </c>
      <c r="I300" s="5" t="inlineStr">
        <is>
          <t>碳水化合物(20g)、蛋白质(8g)</t>
        </is>
      </c>
      <c r="J300" s="5" t="inlineStr">
        <is>
          <t>脂肪(5g)、钠较高</t>
        </is>
      </c>
      <c r="K300" s="5" t="inlineStr">
        <is>
          <t>牛肉汤底清香</t>
        </is>
      </c>
      <c r="L300" s="5" t="inlineStr">
        <is>
          <t>面粉、牛腩</t>
        </is>
      </c>
    </row>
    <row r="301">
      <c r="A301" s="5" t="inlineStr">
        <is>
          <t>番茄炒牛肉</t>
        </is>
      </c>
      <c r="B301" s="5" t="inlineStr">
        <is>
          <t>菜肴</t>
        </is>
      </c>
      <c r="C301" s="6" t="inlineStr">
        <is>
          <t>家常菜</t>
        </is>
      </c>
      <c r="D301" s="7" t="n">
        <v>628</v>
      </c>
      <c r="E301" s="7" t="n">
        <v>150</v>
      </c>
      <c r="F301" s="7" t="n">
        <v>200</v>
      </c>
      <c r="G301" s="7">
        <f>ROUND(D301*F301/100,0)</f>
        <v/>
      </c>
      <c r="H301" s="7">
        <f>ROUND(E301*F301/100,0)</f>
        <v/>
      </c>
      <c r="I301" s="5" t="inlineStr">
        <is>
          <t>蛋白质(14g)、番茄红素</t>
        </is>
      </c>
      <c r="J301" s="5" t="inlineStr">
        <is>
          <t>铁、维生素C</t>
        </is>
      </c>
      <c r="K301" s="5" t="inlineStr">
        <is>
          <t>营养均衡，常见家常</t>
        </is>
      </c>
      <c r="L301" s="5" t="inlineStr">
        <is>
          <t>牛里脊、番茄</t>
        </is>
      </c>
    </row>
    <row r="302">
      <c r="A302" s="5" t="inlineStr">
        <is>
          <t>土豆丝炒肉</t>
        </is>
      </c>
      <c r="B302" s="5" t="inlineStr">
        <is>
          <t>菜肴</t>
        </is>
      </c>
      <c r="C302" s="6" t="inlineStr">
        <is>
          <t>家常菜</t>
        </is>
      </c>
      <c r="D302" s="7" t="n">
        <v>628</v>
      </c>
      <c r="E302" s="7" t="n">
        <v>150</v>
      </c>
      <c r="F302" s="7" t="n">
        <v>200</v>
      </c>
      <c r="G302" s="7">
        <f>ROUND(D302*F302/100,0)</f>
        <v/>
      </c>
      <c r="H302" s="7">
        <f>ROUND(E302*F302/100,0)</f>
        <v/>
      </c>
      <c r="I302" s="5" t="inlineStr">
        <is>
          <t>碳水化合物(18g)、蛋白质(10g)</t>
        </is>
      </c>
      <c r="J302" s="5" t="inlineStr">
        <is>
          <t>脂肪(6g)、钾</t>
        </is>
      </c>
      <c r="K302" s="5" t="inlineStr">
        <is>
          <t>主食菜二合一</t>
        </is>
      </c>
      <c r="L302" s="5" t="inlineStr">
        <is>
          <t>土豆、猪腿肉（瘦）</t>
        </is>
      </c>
    </row>
    <row r="303">
      <c r="A303" s="5" t="inlineStr">
        <is>
          <t>芹菜炒肉</t>
        </is>
      </c>
      <c r="B303" s="5" t="inlineStr">
        <is>
          <t>菜肴</t>
        </is>
      </c>
      <c r="C303" s="6" t="inlineStr">
        <is>
          <t>家常菜</t>
        </is>
      </c>
      <c r="D303" s="7" t="n">
        <v>502</v>
      </c>
      <c r="E303" s="7" t="n">
        <v>120</v>
      </c>
      <c r="F303" s="7" t="n">
        <v>200</v>
      </c>
      <c r="G303" s="7">
        <f>ROUND(D303*F303/100,0)</f>
        <v/>
      </c>
      <c r="H303" s="7">
        <f>ROUND(E303*F303/100,0)</f>
        <v/>
      </c>
      <c r="I303" s="5" t="inlineStr">
        <is>
          <t>膳食纤维(1.5g)、蛋白质(10g)</t>
        </is>
      </c>
      <c r="J303" s="5" t="inlineStr">
        <is>
          <t>钾、维生素K</t>
        </is>
      </c>
      <c r="K303" s="5" t="inlineStr">
        <is>
          <t>低热量家常菜</t>
        </is>
      </c>
      <c r="L303" s="5" t="inlineStr">
        <is>
          <t>芹菜、猪腿肉（瘦）</t>
        </is>
      </c>
    </row>
    <row r="304">
      <c r="A304" s="5" t="inlineStr">
        <is>
          <t>鸡蛋炒木耳</t>
        </is>
      </c>
      <c r="B304" s="5" t="inlineStr">
        <is>
          <t>菜肴</t>
        </is>
      </c>
      <c r="C304" s="6" t="inlineStr">
        <is>
          <t>家常菜</t>
        </is>
      </c>
      <c r="D304" s="7" t="n">
        <v>418</v>
      </c>
      <c r="E304" s="7" t="n">
        <v>100</v>
      </c>
      <c r="F304" s="7" t="n">
        <v>200</v>
      </c>
      <c r="G304" s="7">
        <f>ROUND(D304*F304/100,0)</f>
        <v/>
      </c>
      <c r="H304" s="7">
        <f>ROUND(E304*F304/100,0)</f>
        <v/>
      </c>
      <c r="I304" s="5" t="inlineStr">
        <is>
          <t>蛋白质(8g)、多糖(木耳)</t>
        </is>
      </c>
      <c r="J304" s="5" t="inlineStr">
        <is>
          <t>铁、维生素D</t>
        </is>
      </c>
      <c r="K304" s="5" t="inlineStr">
        <is>
          <t>低热量高营养</t>
        </is>
      </c>
      <c r="L304" s="5" t="inlineStr">
        <is>
          <t>鸡蛋（全蛋）、木耳（干）</t>
        </is>
      </c>
    </row>
    <row r="305">
      <c r="A305" s="5" t="inlineStr">
        <is>
          <t>虎皮青椒</t>
        </is>
      </c>
      <c r="B305" s="5" t="inlineStr">
        <is>
          <t>菜肴</t>
        </is>
      </c>
      <c r="C305" s="6" t="inlineStr">
        <is>
          <t>家常菜</t>
        </is>
      </c>
      <c r="D305" s="7" t="n">
        <v>418</v>
      </c>
      <c r="E305" s="7" t="n">
        <v>100</v>
      </c>
      <c r="F305" s="7" t="n">
        <v>150</v>
      </c>
      <c r="G305" s="7">
        <f>ROUND(D305*F305/100,0)</f>
        <v/>
      </c>
      <c r="H305" s="7">
        <f>ROUND(E305*F305/100,0)</f>
        <v/>
      </c>
      <c r="I305" s="5" t="inlineStr">
        <is>
          <t>维生素C(极高)、膳食纤维</t>
        </is>
      </c>
      <c r="J305" s="5" t="inlineStr">
        <is>
          <t>辣椒素、钾</t>
        </is>
      </c>
      <c r="K305" s="5" t="inlineStr">
        <is>
          <t>干煸青椒，少油低热量</t>
        </is>
      </c>
      <c r="L305" s="5" t="inlineStr">
        <is>
          <t>青椒、菜籽油</t>
        </is>
      </c>
    </row>
    <row r="306">
      <c r="A306" s="5" t="inlineStr">
        <is>
          <t>猪血豆腐</t>
        </is>
      </c>
      <c r="B306" s="5" t="inlineStr">
        <is>
          <t>菜肴</t>
        </is>
      </c>
      <c r="C306" s="6" t="inlineStr">
        <is>
          <t>家常菜</t>
        </is>
      </c>
      <c r="D306" s="7" t="n">
        <v>251</v>
      </c>
      <c r="E306" s="7" t="n">
        <v>60</v>
      </c>
      <c r="F306" s="7" t="n">
        <v>200</v>
      </c>
      <c r="G306" s="7">
        <f>ROUND(D306*F306/100,0)</f>
        <v/>
      </c>
      <c r="H306" s="7">
        <f>ROUND(E306*F306/100,0)</f>
        <v/>
      </c>
      <c r="I306" s="5" t="inlineStr">
        <is>
          <t>蛋白质(7g)、铁(高)</t>
        </is>
      </c>
      <c r="J306" s="5" t="inlineStr">
        <is>
          <t>维生素B12、钙</t>
        </is>
      </c>
      <c r="K306" s="5" t="inlineStr">
        <is>
          <t>双补铁钙</t>
        </is>
      </c>
      <c r="L306" s="5" t="inlineStr">
        <is>
          <t>猪血、豆腐（南豆腐）</t>
        </is>
      </c>
    </row>
    <row r="307">
      <c r="A307" s="5" t="inlineStr">
        <is>
          <t>肉末茄子</t>
        </is>
      </c>
      <c r="B307" s="5" t="inlineStr">
        <is>
          <t>菜肴</t>
        </is>
      </c>
      <c r="C307" s="6" t="inlineStr">
        <is>
          <t>家常菜</t>
        </is>
      </c>
      <c r="D307" s="7" t="n">
        <v>502</v>
      </c>
      <c r="E307" s="7" t="n">
        <v>120</v>
      </c>
      <c r="F307" s="7" t="n">
        <v>200</v>
      </c>
      <c r="G307" s="7">
        <f>ROUND(D307*F307/100,0)</f>
        <v/>
      </c>
      <c r="H307" s="7">
        <f>ROUND(E307*F307/100,0)</f>
        <v/>
      </c>
      <c r="I307" s="5" t="inlineStr">
        <is>
          <t>碳水化合物(8g)、脂肪(7g)</t>
        </is>
      </c>
      <c r="J307" s="5" t="inlineStr">
        <is>
          <t>茄子吸油量高、维生素P</t>
        </is>
      </c>
      <c r="K307" s="5" t="inlineStr">
        <is>
          <t>茄子软烂，用油量较多</t>
        </is>
      </c>
      <c r="L307" s="5" t="inlineStr">
        <is>
          <t>茄子、猪腿肉（瘦）</t>
        </is>
      </c>
    </row>
    <row r="308">
      <c r="A308" s="5" t="inlineStr">
        <is>
          <t>青椒炒鸡蛋</t>
        </is>
      </c>
      <c r="B308" s="5" t="inlineStr">
        <is>
          <t>菜肴</t>
        </is>
      </c>
      <c r="C308" s="6" t="inlineStr">
        <is>
          <t>家常菜</t>
        </is>
      </c>
      <c r="D308" s="7" t="n">
        <v>418</v>
      </c>
      <c r="E308" s="7" t="n">
        <v>100</v>
      </c>
      <c r="F308" s="7" t="n">
        <v>200</v>
      </c>
      <c r="G308" s="7">
        <f>ROUND(D308*F308/100,0)</f>
        <v/>
      </c>
      <c r="H308" s="7">
        <f>ROUND(E308*F308/100,0)</f>
        <v/>
      </c>
      <c r="I308" s="5" t="inlineStr">
        <is>
          <t>蛋白质(7g)、维生素C</t>
        </is>
      </c>
      <c r="J308" s="5" t="inlineStr">
        <is>
          <t>卵磷脂、辣椒素</t>
        </is>
      </c>
      <c r="K308" s="5" t="inlineStr">
        <is>
          <t>营养互补，低热量</t>
        </is>
      </c>
      <c r="L308" s="5" t="inlineStr">
        <is>
          <t>青椒、鸡蛋（全蛋）</t>
        </is>
      </c>
    </row>
    <row r="309">
      <c r="A309" s="5" t="inlineStr">
        <is>
          <t>鸡蛋炒西葫芦</t>
        </is>
      </c>
      <c r="B309" s="5" t="inlineStr">
        <is>
          <t>菜肴</t>
        </is>
      </c>
      <c r="C309" s="6" t="inlineStr">
        <is>
          <t>家常菜</t>
        </is>
      </c>
      <c r="D309" s="7" t="n">
        <v>335</v>
      </c>
      <c r="E309" s="7" t="n">
        <v>80</v>
      </c>
      <c r="F309" s="7" t="n">
        <v>200</v>
      </c>
      <c r="G309" s="7">
        <f>ROUND(D309*F309/100,0)</f>
        <v/>
      </c>
      <c r="H309" s="7">
        <f>ROUND(E309*F309/100,0)</f>
        <v/>
      </c>
      <c r="I309" s="5" t="inlineStr">
        <is>
          <t>蛋白质(5g)、维生素C</t>
        </is>
      </c>
      <c r="J309" s="5" t="inlineStr">
        <is>
          <t>钾、水分高</t>
        </is>
      </c>
      <c r="K309" s="5" t="inlineStr">
        <is>
          <t>低热量佳蔬</t>
        </is>
      </c>
      <c r="L309" s="5" t="inlineStr">
        <is>
          <t>西葫芦、鸡蛋（全蛋）</t>
        </is>
      </c>
    </row>
    <row r="310">
      <c r="A310" s="29" t="inlineStr">
        <is>
          <t>麻辣香锅（外卖）</t>
        </is>
      </c>
      <c r="B310" s="29" t="inlineStr">
        <is>
          <t>外卖常见</t>
        </is>
      </c>
      <c r="C310" s="30" t="inlineStr">
        <is>
          <t>—</t>
        </is>
      </c>
      <c r="D310" s="31" t="n">
        <v>628</v>
      </c>
      <c r="E310" s="31" t="n">
        <v>150</v>
      </c>
      <c r="F310" s="31" t="n">
        <v>500</v>
      </c>
      <c r="G310" s="31">
        <f>ROUND(D310*F310/100,0)</f>
        <v/>
      </c>
      <c r="H310" s="31">
        <f>ROUND(E310*F310/100,0)</f>
        <v/>
      </c>
      <c r="I310" s="29" t="inlineStr">
        <is>
          <t>脂肪(9g)、碳水化合物(15g)</t>
        </is>
      </c>
      <c r="J310" s="29" t="inlineStr">
        <is>
          <t>蛋白质(10g)、辣椒素、钠极高</t>
        </is>
      </c>
      <c r="K310" s="29" t="inlineStr">
        <is>
          <t>食材热量差异大，重油</t>
        </is>
      </c>
      <c r="L310" s="29" t="inlineStr"/>
    </row>
    <row r="311">
      <c r="A311" s="29" t="inlineStr">
        <is>
          <t>川式砂锅饭</t>
        </is>
      </c>
      <c r="B311" s="29" t="inlineStr">
        <is>
          <t>外卖常见</t>
        </is>
      </c>
      <c r="C311" s="30" t="inlineStr">
        <is>
          <t>—</t>
        </is>
      </c>
      <c r="D311" s="31" t="n">
        <v>712</v>
      </c>
      <c r="E311" s="31" t="n">
        <v>170</v>
      </c>
      <c r="F311" s="31" t="n">
        <v>500</v>
      </c>
      <c r="G311" s="31">
        <f>ROUND(D311*F311/100,0)</f>
        <v/>
      </c>
      <c r="H311" s="31">
        <f>ROUND(E311*F311/100,0)</f>
        <v/>
      </c>
      <c r="I311" s="29" t="inlineStr">
        <is>
          <t>碳水化合物(24g)、蛋白质(10g)</t>
        </is>
      </c>
      <c r="J311" s="29" t="inlineStr">
        <is>
          <t>脂肪(6g)、钠较高</t>
        </is>
      </c>
      <c r="K311" s="29" t="inlineStr">
        <is>
          <t>砂锅保温，配料丰富</t>
        </is>
      </c>
      <c r="L311" s="29" t="inlineStr"/>
    </row>
    <row r="312">
      <c r="A312" s="29" t="inlineStr">
        <is>
          <t>藤椒鸡饭</t>
        </is>
      </c>
      <c r="B312" s="29" t="inlineStr">
        <is>
          <t>外卖常见</t>
        </is>
      </c>
      <c r="C312" s="30" t="inlineStr">
        <is>
          <t>—</t>
        </is>
      </c>
      <c r="D312" s="31" t="n">
        <v>670</v>
      </c>
      <c r="E312" s="31" t="n">
        <v>160</v>
      </c>
      <c r="F312" s="31" t="n">
        <v>500</v>
      </c>
      <c r="G312" s="31">
        <f>ROUND(D312*F312/100,0)</f>
        <v/>
      </c>
      <c r="H312" s="31">
        <f>ROUND(E312*F312/100,0)</f>
        <v/>
      </c>
      <c r="I312" s="29" t="inlineStr">
        <is>
          <t>蛋白质(14g)、碳水化合物(22g)</t>
        </is>
      </c>
      <c r="J312" s="29" t="inlineStr">
        <is>
          <t>脂肪(6g)、藤椒素</t>
        </is>
      </c>
      <c r="K312" s="29" t="inlineStr">
        <is>
          <t>清爽藤椒风味，外卖热门</t>
        </is>
      </c>
      <c r="L312" s="29" t="inlineStr"/>
    </row>
    <row r="313">
      <c r="A313" s="29" t="inlineStr">
        <is>
          <t>麻辣拌（外卖）</t>
        </is>
      </c>
      <c r="B313" s="29" t="inlineStr">
        <is>
          <t>外卖常见</t>
        </is>
      </c>
      <c r="C313" s="30" t="inlineStr">
        <is>
          <t>—</t>
        </is>
      </c>
      <c r="D313" s="31" t="n">
        <v>628</v>
      </c>
      <c r="E313" s="31" t="n">
        <v>150</v>
      </c>
      <c r="F313" s="31" t="n">
        <v>400</v>
      </c>
      <c r="G313" s="31">
        <f>ROUND(D313*F313/100,0)</f>
        <v/>
      </c>
      <c r="H313" s="31">
        <f>ROUND(E313*F313/100,0)</f>
        <v/>
      </c>
      <c r="I313" s="29" t="inlineStr">
        <is>
          <t>碳水化合物(18g)、蛋白质(8g)</t>
        </is>
      </c>
      <c r="J313" s="29" t="inlineStr">
        <is>
          <t>脂肪(8g)、辣椒素、钠高</t>
        </is>
      </c>
      <c r="K313" s="29" t="inlineStr">
        <is>
          <t>冷食版麻辣烫</t>
        </is>
      </c>
      <c r="L313" s="29" t="inlineStr"/>
    </row>
    <row r="314">
      <c r="A314" s="29" t="inlineStr">
        <is>
          <t>辣椒炒肉饭</t>
        </is>
      </c>
      <c r="B314" s="29" t="inlineStr">
        <is>
          <t>外卖常见</t>
        </is>
      </c>
      <c r="C314" s="30" t="inlineStr">
        <is>
          <t>—</t>
        </is>
      </c>
      <c r="D314" s="31" t="n">
        <v>795</v>
      </c>
      <c r="E314" s="31" t="n">
        <v>190</v>
      </c>
      <c r="F314" s="31" t="n">
        <v>500</v>
      </c>
      <c r="G314" s="31">
        <f>ROUND(D314*F314/100,0)</f>
        <v/>
      </c>
      <c r="H314" s="31">
        <f>ROUND(E314*F314/100,0)</f>
        <v/>
      </c>
      <c r="I314" s="29" t="inlineStr">
        <is>
          <t>蛋白质(12g)、脂肪(10g)</t>
        </is>
      </c>
      <c r="J314" s="29" t="inlineStr">
        <is>
          <t>碳水化合物(22g)、辣椒素</t>
        </is>
      </c>
      <c r="K314" s="29" t="inlineStr">
        <is>
          <t>湘式外卖高频</t>
        </is>
      </c>
      <c r="L314" s="29" t="inlineStr"/>
    </row>
    <row r="315">
      <c r="A315" s="29" t="inlineStr">
        <is>
          <t>剁椒鱼头饭</t>
        </is>
      </c>
      <c r="B315" s="29" t="inlineStr">
        <is>
          <t>外卖常见</t>
        </is>
      </c>
      <c r="C315" s="30" t="inlineStr">
        <is>
          <t>—</t>
        </is>
      </c>
      <c r="D315" s="31" t="n">
        <v>628</v>
      </c>
      <c r="E315" s="31" t="n">
        <v>150</v>
      </c>
      <c r="F315" s="31" t="n">
        <v>500</v>
      </c>
      <c r="G315" s="31">
        <f>ROUND(D315*F315/100,0)</f>
        <v/>
      </c>
      <c r="H315" s="31">
        <f>ROUND(E315*F315/100,0)</f>
        <v/>
      </c>
      <c r="I315" s="29" t="inlineStr">
        <is>
          <t>蛋白质(12g)、脂肪(6g)</t>
        </is>
      </c>
      <c r="J315" s="29" t="inlineStr">
        <is>
          <t>碳水化合物(20g)、钠高</t>
        </is>
      </c>
      <c r="K315" s="29" t="inlineStr">
        <is>
          <t>鱼头骨多，实际肉量有限</t>
        </is>
      </c>
      <c r="L315" s="29" t="inlineStr"/>
    </row>
    <row r="316">
      <c r="A316" s="29" t="inlineStr">
        <is>
          <t>夫妻肺片拌饭</t>
        </is>
      </c>
      <c r="B316" s="29" t="inlineStr">
        <is>
          <t>外卖常见</t>
        </is>
      </c>
      <c r="C316" s="30" t="inlineStr">
        <is>
          <t>—</t>
        </is>
      </c>
      <c r="D316" s="31" t="n">
        <v>753</v>
      </c>
      <c r="E316" s="31" t="n">
        <v>180</v>
      </c>
      <c r="F316" s="31" t="n">
        <v>500</v>
      </c>
      <c r="G316" s="31">
        <f>ROUND(D316*F316/100,0)</f>
        <v/>
      </c>
      <c r="H316" s="31">
        <f>ROUND(E316*F316/100,0)</f>
        <v/>
      </c>
      <c r="I316" s="29" t="inlineStr">
        <is>
          <t>蛋白质(14g)、脂肪(10g)</t>
        </is>
      </c>
      <c r="J316" s="29" t="inlineStr">
        <is>
          <t>碳水化合物(22g)、辣椒素</t>
        </is>
      </c>
      <c r="K316" s="29" t="inlineStr">
        <is>
          <t>内脏类，胆固醇较高</t>
        </is>
      </c>
      <c r="L316" s="29" t="inlineStr"/>
    </row>
    <row r="317">
      <c r="A317" s="29" t="inlineStr">
        <is>
          <t>广式煲仔饭（腊味）</t>
        </is>
      </c>
      <c r="B317" s="29" t="inlineStr">
        <is>
          <t>外卖常见</t>
        </is>
      </c>
      <c r="C317" s="30" t="inlineStr">
        <is>
          <t>—</t>
        </is>
      </c>
      <c r="D317" s="31" t="n">
        <v>836</v>
      </c>
      <c r="E317" s="31" t="n">
        <v>200</v>
      </c>
      <c r="F317" s="31" t="n">
        <v>500</v>
      </c>
      <c r="G317" s="31">
        <f>ROUND(D317*F317/100,0)</f>
        <v/>
      </c>
      <c r="H317" s="31">
        <f>ROUND(E317*F317/100,0)</f>
        <v/>
      </c>
      <c r="I317" s="29" t="inlineStr">
        <is>
          <t>碳水化合物(28g)、脂肪(10g)</t>
        </is>
      </c>
      <c r="J317" s="29" t="inlineStr">
        <is>
          <t>蛋白质(10g)、钠高</t>
        </is>
      </c>
      <c r="K317" s="29" t="inlineStr">
        <is>
          <t>腊肠腊肉脂肪较高</t>
        </is>
      </c>
      <c r="L317" s="29" t="inlineStr"/>
    </row>
    <row r="318">
      <c r="A318" s="29" t="inlineStr">
        <is>
          <t>白切鸡饭</t>
        </is>
      </c>
      <c r="B318" s="29" t="inlineStr">
        <is>
          <t>外卖常见</t>
        </is>
      </c>
      <c r="C318" s="30" t="inlineStr">
        <is>
          <t>—</t>
        </is>
      </c>
      <c r="D318" s="31" t="n">
        <v>628</v>
      </c>
      <c r="E318" s="31" t="n">
        <v>150</v>
      </c>
      <c r="F318" s="31" t="n">
        <v>500</v>
      </c>
      <c r="G318" s="31">
        <f>ROUND(D318*F318/100,0)</f>
        <v/>
      </c>
      <c r="H318" s="31">
        <f>ROUND(E318*F318/100,0)</f>
        <v/>
      </c>
      <c r="I318" s="29" t="inlineStr">
        <is>
          <t>蛋白质(16g)、碳水化合物(20g)</t>
        </is>
      </c>
      <c r="J318" s="29" t="inlineStr">
        <is>
          <t>脂肪(5g)</t>
        </is>
      </c>
      <c r="K318" s="29" t="inlineStr">
        <is>
          <t>低脂高蛋白外卖</t>
        </is>
      </c>
      <c r="L318" s="29" t="inlineStr"/>
    </row>
    <row r="319">
      <c r="A319" s="29" t="inlineStr">
        <is>
          <t>烧鸭饭</t>
        </is>
      </c>
      <c r="B319" s="29" t="inlineStr">
        <is>
          <t>外卖常见</t>
        </is>
      </c>
      <c r="C319" s="30" t="inlineStr">
        <is>
          <t>—</t>
        </is>
      </c>
      <c r="D319" s="31" t="n">
        <v>795</v>
      </c>
      <c r="E319" s="31" t="n">
        <v>190</v>
      </c>
      <c r="F319" s="31" t="n">
        <v>500</v>
      </c>
      <c r="G319" s="31">
        <f>ROUND(D319*F319/100,0)</f>
        <v/>
      </c>
      <c r="H319" s="31">
        <f>ROUND(E319*F319/100,0)</f>
        <v/>
      </c>
      <c r="I319" s="29" t="inlineStr">
        <is>
          <t>蛋白质(14g)、脂肪(10g)</t>
        </is>
      </c>
      <c r="J319" s="29" t="inlineStr">
        <is>
          <t>碳水化合物(20g)、钠高</t>
        </is>
      </c>
      <c r="K319" s="29" t="inlineStr">
        <is>
          <t>烧腊类，皮脂较高</t>
        </is>
      </c>
      <c r="L319" s="29" t="inlineStr"/>
    </row>
    <row r="320">
      <c r="A320" s="29" t="inlineStr">
        <is>
          <t>叉烧饭</t>
        </is>
      </c>
      <c r="B320" s="29" t="inlineStr">
        <is>
          <t>外卖常见</t>
        </is>
      </c>
      <c r="C320" s="30" t="inlineStr">
        <is>
          <t>—</t>
        </is>
      </c>
      <c r="D320" s="31" t="n">
        <v>836</v>
      </c>
      <c r="E320" s="31" t="n">
        <v>200</v>
      </c>
      <c r="F320" s="31" t="n">
        <v>500</v>
      </c>
      <c r="G320" s="31">
        <f>ROUND(D320*F320/100,0)</f>
        <v/>
      </c>
      <c r="H320" s="31">
        <f>ROUND(E320*F320/100,0)</f>
        <v/>
      </c>
      <c r="I320" s="29" t="inlineStr">
        <is>
          <t>蛋白质(14g)、脂肪(10g)</t>
        </is>
      </c>
      <c r="J320" s="29" t="inlineStr">
        <is>
          <t>碳水化合物(24g)、糖较高</t>
        </is>
      </c>
      <c r="K320" s="29" t="inlineStr">
        <is>
          <t>蜜汁叉烧含糖</t>
        </is>
      </c>
      <c r="L320" s="29" t="inlineStr"/>
    </row>
    <row r="321">
      <c r="A321" s="29" t="inlineStr">
        <is>
          <t>虾仁炒饭</t>
        </is>
      </c>
      <c r="B321" s="29" t="inlineStr">
        <is>
          <t>外卖常见</t>
        </is>
      </c>
      <c r="C321" s="30" t="inlineStr">
        <is>
          <t>—</t>
        </is>
      </c>
      <c r="D321" s="31" t="n">
        <v>712</v>
      </c>
      <c r="E321" s="31" t="n">
        <v>170</v>
      </c>
      <c r="F321" s="31" t="n">
        <v>400</v>
      </c>
      <c r="G321" s="31">
        <f>ROUND(D321*F321/100,0)</f>
        <v/>
      </c>
      <c r="H321" s="31">
        <f>ROUND(E321*F321/100,0)</f>
        <v/>
      </c>
      <c r="I321" s="29" t="inlineStr">
        <is>
          <t>碳水化合物(26g)、蛋白质(12g)</t>
        </is>
      </c>
      <c r="J321" s="29" t="inlineStr">
        <is>
          <t>脂肪(6g)、锌</t>
        </is>
      </c>
      <c r="K321" s="29" t="inlineStr">
        <is>
          <t>高蛋白炒饭</t>
        </is>
      </c>
      <c r="L321" s="29" t="inlineStr"/>
    </row>
    <row r="322">
      <c r="A322" s="29" t="inlineStr">
        <is>
          <t>肠粉套餐（外卖）</t>
        </is>
      </c>
      <c r="B322" s="29" t="inlineStr">
        <is>
          <t>外卖常见</t>
        </is>
      </c>
      <c r="C322" s="30" t="inlineStr">
        <is>
          <t>—</t>
        </is>
      </c>
      <c r="D322" s="31" t="n">
        <v>628</v>
      </c>
      <c r="E322" s="31" t="n">
        <v>150</v>
      </c>
      <c r="F322" s="31" t="n">
        <v>350</v>
      </c>
      <c r="G322" s="31">
        <f>ROUND(D322*F322/100,0)</f>
        <v/>
      </c>
      <c r="H322" s="31">
        <f>ROUND(E322*F322/100,0)</f>
        <v/>
      </c>
      <c r="I322" s="29" t="inlineStr">
        <is>
          <t>碳水化合物(25g)、蛋白质(9g)</t>
        </is>
      </c>
      <c r="J322" s="29" t="inlineStr">
        <is>
          <t>脂肪(5g)</t>
        </is>
      </c>
      <c r="K322" s="29" t="inlineStr">
        <is>
          <t>广式早茶外带</t>
        </is>
      </c>
      <c r="L322" s="29" t="inlineStr"/>
    </row>
    <row r="323">
      <c r="A323" s="29" t="inlineStr">
        <is>
          <t>日式猪骨拉面</t>
        </is>
      </c>
      <c r="B323" s="29" t="inlineStr">
        <is>
          <t>外卖常见</t>
        </is>
      </c>
      <c r="C323" s="30" t="inlineStr">
        <is>
          <t>—</t>
        </is>
      </c>
      <c r="D323" s="31" t="n">
        <v>712</v>
      </c>
      <c r="E323" s="31" t="n">
        <v>170</v>
      </c>
      <c r="F323" s="31" t="n">
        <v>550</v>
      </c>
      <c r="G323" s="31">
        <f>ROUND(D323*F323/100,0)</f>
        <v/>
      </c>
      <c r="H323" s="31">
        <f>ROUND(E323*F323/100,0)</f>
        <v/>
      </c>
      <c r="I323" s="29" t="inlineStr">
        <is>
          <t>碳水化合物(22g)、脂肪(8g)</t>
        </is>
      </c>
      <c r="J323" s="29" t="inlineStr">
        <is>
          <t>蛋白质(9g)、钠极高</t>
        </is>
      </c>
      <c r="K323" s="29" t="inlineStr">
        <is>
          <t>汤底浓郁，钠含量高</t>
        </is>
      </c>
      <c r="L323" s="29" t="inlineStr"/>
    </row>
    <row r="324">
      <c r="A324" s="29" t="inlineStr">
        <is>
          <t>韩式石锅拌饭</t>
        </is>
      </c>
      <c r="B324" s="29" t="inlineStr">
        <is>
          <t>外卖常见</t>
        </is>
      </c>
      <c r="C324" s="30" t="inlineStr">
        <is>
          <t>—</t>
        </is>
      </c>
      <c r="D324" s="31" t="n">
        <v>670</v>
      </c>
      <c r="E324" s="31" t="n">
        <v>160</v>
      </c>
      <c r="F324" s="31" t="n">
        <v>500</v>
      </c>
      <c r="G324" s="31">
        <f>ROUND(D324*F324/100,0)</f>
        <v/>
      </c>
      <c r="H324" s="31">
        <f>ROUND(E324*F324/100,0)</f>
        <v/>
      </c>
      <c r="I324" s="29" t="inlineStr">
        <is>
          <t>碳水化合物(22g)、蛋白质(7g)</t>
        </is>
      </c>
      <c r="J324" s="29" t="inlineStr">
        <is>
          <t>脂肪(4g)、各类维生素</t>
        </is>
      </c>
      <c r="K324" s="29" t="inlineStr">
        <is>
          <t>韩式风格，热量适中</t>
        </is>
      </c>
      <c r="L324" s="29" t="inlineStr"/>
    </row>
    <row r="325">
      <c r="A325" s="29" t="inlineStr">
        <is>
          <t>韩式部队锅</t>
        </is>
      </c>
      <c r="B325" s="29" t="inlineStr">
        <is>
          <t>外卖常见</t>
        </is>
      </c>
      <c r="C325" s="30" t="inlineStr">
        <is>
          <t>—</t>
        </is>
      </c>
      <c r="D325" s="31" t="n">
        <v>628</v>
      </c>
      <c r="E325" s="31" t="n">
        <v>150</v>
      </c>
      <c r="F325" s="31" t="n">
        <v>500</v>
      </c>
      <c r="G325" s="31">
        <f>ROUND(D325*F325/100,0)</f>
        <v/>
      </c>
      <c r="H325" s="31">
        <f>ROUND(E325*F325/100,0)</f>
        <v/>
      </c>
      <c r="I325" s="29" t="inlineStr">
        <is>
          <t>碳水化合物(16g)、蛋白质(9g)</t>
        </is>
      </c>
      <c r="J325" s="29" t="inlineStr">
        <is>
          <t>脂肪(7g)、钠极高</t>
        </is>
      </c>
      <c r="K325" s="29" t="inlineStr">
        <is>
          <t>泡面+肠+豆腐，高钠</t>
        </is>
      </c>
      <c r="L325" s="29" t="inlineStr"/>
    </row>
    <row r="326">
      <c r="A326" s="29" t="inlineStr">
        <is>
          <t>韩式炸鸡（甜辣）</t>
        </is>
      </c>
      <c r="B326" s="29" t="inlineStr">
        <is>
          <t>外卖常见</t>
        </is>
      </c>
      <c r="C326" s="30" t="inlineStr">
        <is>
          <t>—</t>
        </is>
      </c>
      <c r="D326" s="31" t="n">
        <v>1172</v>
      </c>
      <c r="E326" s="31" t="n">
        <v>280</v>
      </c>
      <c r="F326" s="31" t="n">
        <v>200</v>
      </c>
      <c r="G326" s="31">
        <f>ROUND(D326*F326/100,0)</f>
        <v/>
      </c>
      <c r="H326" s="31">
        <f>ROUND(E326*F326/100,0)</f>
        <v/>
      </c>
      <c r="I326" s="29" t="inlineStr">
        <is>
          <t>脂肪(16g)、碳水化合物(22g)</t>
        </is>
      </c>
      <c r="J326" s="29" t="inlineStr">
        <is>
          <t>蛋白质(15g)、糖高、钠高</t>
        </is>
      </c>
      <c r="K326" s="29" t="inlineStr">
        <is>
          <t>裹粉油炸+糖浆，热量高</t>
        </is>
      </c>
      <c r="L326" s="29" t="inlineStr"/>
    </row>
    <row r="327">
      <c r="A327" s="29" t="inlineStr">
        <is>
          <t>寿司拼盘（8件）</t>
        </is>
      </c>
      <c r="B327" s="29" t="inlineStr">
        <is>
          <t>外卖常见</t>
        </is>
      </c>
      <c r="C327" s="30" t="inlineStr">
        <is>
          <t>—</t>
        </is>
      </c>
      <c r="D327" s="31" t="n">
        <v>628</v>
      </c>
      <c r="E327" s="31" t="n">
        <v>150</v>
      </c>
      <c r="F327" s="31" t="n">
        <v>200</v>
      </c>
      <c r="G327" s="31">
        <f>ROUND(D327*F327/100,0)</f>
        <v/>
      </c>
      <c r="H327" s="31">
        <f>ROUND(E327*F327/100,0)</f>
        <v/>
      </c>
      <c r="I327" s="29" t="inlineStr">
        <is>
          <t>碳水化合物(28g)、蛋白质(8g)</t>
        </is>
      </c>
      <c r="J327" s="29" t="inlineStr">
        <is>
          <t>脂肪(4g)、DHA(金枪鱼)</t>
        </is>
      </c>
      <c r="K327" s="29" t="inlineStr">
        <is>
          <t>醋饭含糖，配料影响热量</t>
        </is>
      </c>
      <c r="L327" s="29" t="inlineStr"/>
    </row>
    <row r="328">
      <c r="A328" s="29" t="inlineStr">
        <is>
          <t>日式咖喱饭</t>
        </is>
      </c>
      <c r="B328" s="29" t="inlineStr">
        <is>
          <t>外卖常见</t>
        </is>
      </c>
      <c r="C328" s="30" t="inlineStr">
        <is>
          <t>—</t>
        </is>
      </c>
      <c r="D328" s="31" t="n">
        <v>753</v>
      </c>
      <c r="E328" s="31" t="n">
        <v>180</v>
      </c>
      <c r="F328" s="31" t="n">
        <v>500</v>
      </c>
      <c r="G328" s="31">
        <f>ROUND(D328*F328/100,0)</f>
        <v/>
      </c>
      <c r="H328" s="31">
        <f>ROUND(E328*F328/100,0)</f>
        <v/>
      </c>
      <c r="I328" s="29" t="inlineStr">
        <is>
          <t>碳水化合物(28g)、脂肪(7g)</t>
        </is>
      </c>
      <c r="J328" s="29" t="inlineStr">
        <is>
          <t>蛋白质(8g)、姜黄素</t>
        </is>
      </c>
      <c r="K328" s="29" t="inlineStr">
        <is>
          <t>咖喱块含植物油</t>
        </is>
      </c>
      <c r="L328" s="29" t="inlineStr"/>
    </row>
    <row r="329">
      <c r="A329" s="29" t="inlineStr">
        <is>
          <t>烤牛肉汉堡（厚牛排）</t>
        </is>
      </c>
      <c r="B329" s="29" t="inlineStr">
        <is>
          <t>外卖常见</t>
        </is>
      </c>
      <c r="C329" s="30" t="inlineStr">
        <is>
          <t>—</t>
        </is>
      </c>
      <c r="D329" s="31" t="n">
        <v>1172</v>
      </c>
      <c r="E329" s="31" t="n">
        <v>280</v>
      </c>
      <c r="F329" s="31" t="n">
        <v>200</v>
      </c>
      <c r="G329" s="31">
        <f>ROUND(D329*F329/100,0)</f>
        <v/>
      </c>
      <c r="H329" s="31">
        <f>ROUND(E329*F329/100,0)</f>
        <v/>
      </c>
      <c r="I329" s="29" t="inlineStr">
        <is>
          <t>蛋白质(16g)、脂肪(16g)</t>
        </is>
      </c>
      <c r="J329" s="29" t="inlineStr">
        <is>
          <t>碳水化合物(26g)、钠高</t>
        </is>
      </c>
      <c r="K329" s="29" t="inlineStr">
        <is>
          <t>精品汉堡，热量高</t>
        </is>
      </c>
      <c r="L329" s="29" t="inlineStr"/>
    </row>
    <row r="330">
      <c r="A330" s="29" t="inlineStr">
        <is>
          <t>墨西哥鸡肉卷</t>
        </is>
      </c>
      <c r="B330" s="29" t="inlineStr">
        <is>
          <t>外卖常见</t>
        </is>
      </c>
      <c r="C330" s="30" t="inlineStr">
        <is>
          <t>—</t>
        </is>
      </c>
      <c r="D330" s="31" t="n">
        <v>878</v>
      </c>
      <c r="E330" s="31" t="n">
        <v>210</v>
      </c>
      <c r="F330" s="31" t="n">
        <v>200</v>
      </c>
      <c r="G330" s="31">
        <f>ROUND(D330*F330/100,0)</f>
        <v/>
      </c>
      <c r="H330" s="31">
        <f>ROUND(E330*F330/100,0)</f>
        <v/>
      </c>
      <c r="I330" s="29" t="inlineStr">
        <is>
          <t>碳水化合物(28g)、蛋白质(14g)</t>
        </is>
      </c>
      <c r="J330" s="29" t="inlineStr">
        <is>
          <t>脂肪(8g)、辣椒素</t>
        </is>
      </c>
      <c r="K330" s="29" t="inlineStr">
        <is>
          <t>Burrito风格外卖</t>
        </is>
      </c>
      <c r="L330" s="29" t="inlineStr"/>
    </row>
    <row r="331">
      <c r="A331" s="29" t="inlineStr">
        <is>
          <t>培根芝士披萨（每块）</t>
        </is>
      </c>
      <c r="B331" s="29" t="inlineStr">
        <is>
          <t>外卖常见</t>
        </is>
      </c>
      <c r="C331" s="30" t="inlineStr">
        <is>
          <t>—</t>
        </is>
      </c>
      <c r="D331" s="31" t="n">
        <v>1046</v>
      </c>
      <c r="E331" s="31" t="n">
        <v>250</v>
      </c>
      <c r="F331" s="31" t="n">
        <v>130</v>
      </c>
      <c r="G331" s="31">
        <f>ROUND(D331*F331/100,0)</f>
        <v/>
      </c>
      <c r="H331" s="31">
        <f>ROUND(E331*F331/100,0)</f>
        <v/>
      </c>
      <c r="I331" s="29" t="inlineStr">
        <is>
          <t>碳水化合物(28g)、脂肪(14g)</t>
        </is>
      </c>
      <c r="J331" s="29" t="inlineStr">
        <is>
          <t>蛋白质(12g)、钠高</t>
        </is>
      </c>
      <c r="K331" s="29" t="inlineStr">
        <is>
          <t>8寸按4块计</t>
        </is>
      </c>
      <c r="L331" s="29" t="inlineStr"/>
    </row>
    <row r="332">
      <c r="A332" s="29" t="inlineStr">
        <is>
          <t>薯条（大份）</t>
        </is>
      </c>
      <c r="B332" s="29" t="inlineStr">
        <is>
          <t>外卖常见</t>
        </is>
      </c>
      <c r="C332" s="30" t="inlineStr">
        <is>
          <t>—</t>
        </is>
      </c>
      <c r="D332" s="31" t="n">
        <v>1255</v>
      </c>
      <c r="E332" s="31" t="n">
        <v>300</v>
      </c>
      <c r="F332" s="31" t="n">
        <v>170</v>
      </c>
      <c r="G332" s="31">
        <f>ROUND(D332*F332/100,0)</f>
        <v/>
      </c>
      <c r="H332" s="31">
        <f>ROUND(E332*F332/100,0)</f>
        <v/>
      </c>
      <c r="I332" s="29" t="inlineStr">
        <is>
          <t>碳水化合物(40g)、脂肪(15g)</t>
        </is>
      </c>
      <c r="J332" s="29" t="inlineStr">
        <is>
          <t>钠高、钾(少量)</t>
        </is>
      </c>
      <c r="K332" s="29" t="inlineStr">
        <is>
          <t>油炸，高热量</t>
        </is>
      </c>
      <c r="L332" s="29" t="inlineStr"/>
    </row>
    <row r="333">
      <c r="A333" s="29" t="inlineStr">
        <is>
          <t>鸡肉卷（快餐）</t>
        </is>
      </c>
      <c r="B333" s="29" t="inlineStr">
        <is>
          <t>外卖常见</t>
        </is>
      </c>
      <c r="C333" s="30" t="inlineStr">
        <is>
          <t>—</t>
        </is>
      </c>
      <c r="D333" s="31" t="n">
        <v>920</v>
      </c>
      <c r="E333" s="31" t="n">
        <v>220</v>
      </c>
      <c r="F333" s="31" t="n">
        <v>180</v>
      </c>
      <c r="G333" s="31">
        <f>ROUND(D333*F333/100,0)</f>
        <v/>
      </c>
      <c r="H333" s="31">
        <f>ROUND(E333*F333/100,0)</f>
        <v/>
      </c>
      <c r="I333" s="29" t="inlineStr">
        <is>
          <t>碳水化合物(28g)、蛋白质(14g)</t>
        </is>
      </c>
      <c r="J333" s="29" t="inlineStr">
        <is>
          <t>脂肪(10g)、钠高</t>
        </is>
      </c>
      <c r="K333" s="29" t="inlineStr">
        <is>
          <t>KFC/麦当劳风格</t>
        </is>
      </c>
      <c r="L333" s="29" t="inlineStr"/>
    </row>
    <row r="334">
      <c r="A334" s="29" t="inlineStr">
        <is>
          <t>芝士汉堡（标准）</t>
        </is>
      </c>
      <c r="B334" s="29" t="inlineStr">
        <is>
          <t>外卖常见</t>
        </is>
      </c>
      <c r="C334" s="30" t="inlineStr">
        <is>
          <t>—</t>
        </is>
      </c>
      <c r="D334" s="31" t="n">
        <v>1046</v>
      </c>
      <c r="E334" s="31" t="n">
        <v>250</v>
      </c>
      <c r="F334" s="31" t="n">
        <v>150</v>
      </c>
      <c r="G334" s="31">
        <f>ROUND(D334*F334/100,0)</f>
        <v/>
      </c>
      <c r="H334" s="31">
        <f>ROUND(E334*F334/100,0)</f>
        <v/>
      </c>
      <c r="I334" s="29" t="inlineStr">
        <is>
          <t>碳水化合物(26g)、蛋白质(14g)</t>
        </is>
      </c>
      <c r="J334" s="29" t="inlineStr">
        <is>
          <t>脂肪(13g)、钠高</t>
        </is>
      </c>
      <c r="K334" s="29" t="inlineStr">
        <is>
          <t>快餐标准款</t>
        </is>
      </c>
      <c r="L334" s="29" t="inlineStr"/>
    </row>
    <row r="335">
      <c r="A335" s="29" t="inlineStr">
        <is>
          <t>鸡胸肉沙拉（轻食）</t>
        </is>
      </c>
      <c r="B335" s="29" t="inlineStr">
        <is>
          <t>外卖常见</t>
        </is>
      </c>
      <c r="C335" s="30" t="inlineStr">
        <is>
          <t>—</t>
        </is>
      </c>
      <c r="D335" s="31" t="n">
        <v>418</v>
      </c>
      <c r="E335" s="31" t="n">
        <v>100</v>
      </c>
      <c r="F335" s="31" t="n">
        <v>300</v>
      </c>
      <c r="G335" s="31">
        <f>ROUND(D335*F335/100,0)</f>
        <v/>
      </c>
      <c r="H335" s="31">
        <f>ROUND(E335*F335/100,0)</f>
        <v/>
      </c>
      <c r="I335" s="29" t="inlineStr">
        <is>
          <t>蛋白质(18g)、脂肪(4g)</t>
        </is>
      </c>
      <c r="J335" s="29" t="inlineStr">
        <is>
          <t>膳食纤维(3g)、维生素C</t>
        </is>
      </c>
      <c r="K335" s="29" t="inlineStr">
        <is>
          <t>减脂首选，沙拉酱另计</t>
        </is>
      </c>
      <c r="L335" s="29" t="inlineStr"/>
    </row>
    <row r="336">
      <c r="A336" s="29" t="inlineStr">
        <is>
          <t>藜麦鸡肉碗</t>
        </is>
      </c>
      <c r="B336" s="29" t="inlineStr">
        <is>
          <t>外卖常见</t>
        </is>
      </c>
      <c r="C336" s="30" t="inlineStr">
        <is>
          <t>—</t>
        </is>
      </c>
      <c r="D336" s="31" t="n">
        <v>544</v>
      </c>
      <c r="E336" s="31" t="n">
        <v>130</v>
      </c>
      <c r="F336" s="31" t="n">
        <v>350</v>
      </c>
      <c r="G336" s="31">
        <f>ROUND(D336*F336/100,0)</f>
        <v/>
      </c>
      <c r="H336" s="31">
        <f>ROUND(E336*F336/100,0)</f>
        <v/>
      </c>
      <c r="I336" s="29" t="inlineStr">
        <is>
          <t>蛋白质(15g)、碳水化合物(18g)</t>
        </is>
      </c>
      <c r="J336" s="29" t="inlineStr">
        <is>
          <t>膳食纤维(4g)、多种矿物质</t>
        </is>
      </c>
      <c r="K336" s="29" t="inlineStr">
        <is>
          <t>全谷物，营养均衡</t>
        </is>
      </c>
      <c r="L336" s="29" t="inlineStr"/>
    </row>
    <row r="337">
      <c r="A337" s="29" t="inlineStr">
        <is>
          <t>全麦三明治（外卖）</t>
        </is>
      </c>
      <c r="B337" s="29" t="inlineStr">
        <is>
          <t>外卖常见</t>
        </is>
      </c>
      <c r="C337" s="30" t="inlineStr">
        <is>
          <t>—</t>
        </is>
      </c>
      <c r="D337" s="31" t="n">
        <v>836</v>
      </c>
      <c r="E337" s="31" t="n">
        <v>200</v>
      </c>
      <c r="F337" s="31" t="n">
        <v>180</v>
      </c>
      <c r="G337" s="31">
        <f>ROUND(D337*F337/100,0)</f>
        <v/>
      </c>
      <c r="H337" s="31">
        <f>ROUND(E337*F337/100,0)</f>
        <v/>
      </c>
      <c r="I337" s="29" t="inlineStr">
        <is>
          <t>碳水化合物(32g)、蛋白质(14g)</t>
        </is>
      </c>
      <c r="J337" s="29" t="inlineStr">
        <is>
          <t>脂肪(7g)、膳食纤维</t>
        </is>
      </c>
      <c r="K337" s="29" t="inlineStr">
        <is>
          <t>常见写字楼轻食</t>
        </is>
      </c>
      <c r="L337" s="29" t="inlineStr"/>
    </row>
    <row r="338">
      <c r="A338" s="29" t="inlineStr">
        <is>
          <t>魔芋麻辣烫</t>
        </is>
      </c>
      <c r="B338" s="29" t="inlineStr">
        <is>
          <t>外卖常见</t>
        </is>
      </c>
      <c r="C338" s="30" t="inlineStr">
        <is>
          <t>—</t>
        </is>
      </c>
      <c r="D338" s="31" t="n">
        <v>335</v>
      </c>
      <c r="E338" s="31" t="n">
        <v>80</v>
      </c>
      <c r="F338" s="31" t="n">
        <v>400</v>
      </c>
      <c r="G338" s="31">
        <f>ROUND(D338*F338/100,0)</f>
        <v/>
      </c>
      <c r="H338" s="31">
        <f>ROUND(E338*F338/100,0)</f>
        <v/>
      </c>
      <c r="I338" s="29" t="inlineStr">
        <is>
          <t>膳食纤维(5g)、碳水化合物(10g)</t>
        </is>
      </c>
      <c r="J338" s="29" t="inlineStr">
        <is>
          <t>脂肪(3g)、钠高</t>
        </is>
      </c>
      <c r="K338" s="29" t="inlineStr">
        <is>
          <t>魔芋热量极低，减脂好选</t>
        </is>
      </c>
      <c r="L338" s="29" t="inlineStr"/>
    </row>
    <row r="339">
      <c r="A339" s="29" t="inlineStr">
        <is>
          <t>低脂酸奶碗</t>
        </is>
      </c>
      <c r="B339" s="29" t="inlineStr">
        <is>
          <t>外卖常见</t>
        </is>
      </c>
      <c r="C339" s="30" t="inlineStr">
        <is>
          <t>—</t>
        </is>
      </c>
      <c r="D339" s="31" t="n">
        <v>418</v>
      </c>
      <c r="E339" s="31" t="n">
        <v>100</v>
      </c>
      <c r="F339" s="31" t="n">
        <v>300</v>
      </c>
      <c r="G339" s="31">
        <f>ROUND(D339*F339/100,0)</f>
        <v/>
      </c>
      <c r="H339" s="31">
        <f>ROUND(E339*F339/100,0)</f>
        <v/>
      </c>
      <c r="I339" s="29" t="inlineStr">
        <is>
          <t>蛋白质(8g)、钙(150mg)</t>
        </is>
      </c>
      <c r="J339" s="29" t="inlineStr">
        <is>
          <t>益生菌、碳水化合物(15g)</t>
        </is>
      </c>
      <c r="K339" s="29" t="inlineStr">
        <is>
          <t>早餐轻食，注意加料热量</t>
        </is>
      </c>
      <c r="L339" s="29" t="inlineStr"/>
    </row>
    <row r="340">
      <c r="A340" s="29" t="inlineStr">
        <is>
          <t>烤三文鱼饭</t>
        </is>
      </c>
      <c r="B340" s="29" t="inlineStr">
        <is>
          <t>外卖常见</t>
        </is>
      </c>
      <c r="C340" s="30" t="inlineStr">
        <is>
          <t>—</t>
        </is>
      </c>
      <c r="D340" s="31" t="n">
        <v>628</v>
      </c>
      <c r="E340" s="31" t="n">
        <v>150</v>
      </c>
      <c r="F340" s="31" t="n">
        <v>450</v>
      </c>
      <c r="G340" s="31">
        <f>ROUND(D340*F340/100,0)</f>
        <v/>
      </c>
      <c r="H340" s="31">
        <f>ROUND(E340*F340/100,0)</f>
        <v/>
      </c>
      <c r="I340" s="29" t="inlineStr">
        <is>
          <t>蛋白质(18g)、脂肪(8g)</t>
        </is>
      </c>
      <c r="J340" s="29" t="inlineStr">
        <is>
          <t>碳水化合物(18g)、DHA、Omega-3</t>
        </is>
      </c>
      <c r="K340" s="29" t="inlineStr">
        <is>
          <t>营养优质，轻食外卖</t>
        </is>
      </c>
      <c r="L340" s="29" t="inlineStr"/>
    </row>
    <row r="341">
      <c r="A341" s="29" t="inlineStr">
        <is>
          <t>烤生蚝（蒜蓉）</t>
        </is>
      </c>
      <c r="B341" s="29" t="inlineStr">
        <is>
          <t>外卖常见</t>
        </is>
      </c>
      <c r="C341" s="30" t="inlineStr">
        <is>
          <t>—</t>
        </is>
      </c>
      <c r="D341" s="31" t="n">
        <v>502</v>
      </c>
      <c r="E341" s="31" t="n">
        <v>120</v>
      </c>
      <c r="F341" s="31" t="n">
        <v>100</v>
      </c>
      <c r="G341" s="31">
        <f>ROUND(D341*F341/100,0)</f>
        <v/>
      </c>
      <c r="H341" s="31">
        <f>ROUND(E341*F341/100,0)</f>
        <v/>
      </c>
      <c r="I341" s="29" t="inlineStr">
        <is>
          <t>蛋白质(9g)、脂肪(6g)</t>
        </is>
      </c>
      <c r="J341" s="29" t="inlineStr">
        <is>
          <t>锌(极高)、牛磺酸</t>
        </is>
      </c>
      <c r="K341" s="29" t="inlineStr">
        <is>
          <t>锌含量最高食物之一</t>
        </is>
      </c>
      <c r="L341" s="29" t="inlineStr"/>
    </row>
    <row r="342">
      <c r="A342" s="29" t="inlineStr">
        <is>
          <t>烤玉米（刷酱）</t>
        </is>
      </c>
      <c r="B342" s="29" t="inlineStr">
        <is>
          <t>外卖常见</t>
        </is>
      </c>
      <c r="C342" s="30" t="inlineStr">
        <is>
          <t>—</t>
        </is>
      </c>
      <c r="D342" s="31" t="n">
        <v>544</v>
      </c>
      <c r="E342" s="31" t="n">
        <v>130</v>
      </c>
      <c r="F342" s="31" t="n">
        <v>200</v>
      </c>
      <c r="G342" s="31">
        <f>ROUND(D342*F342/100,0)</f>
        <v/>
      </c>
      <c r="H342" s="31">
        <f>ROUND(E342*F342/100,0)</f>
        <v/>
      </c>
      <c r="I342" s="29" t="inlineStr">
        <is>
          <t>碳水化合物(25g)、膳食纤维(2g)</t>
        </is>
      </c>
      <c r="J342" s="29" t="inlineStr">
        <is>
          <t>脂肪(4g)、玉米黄素</t>
        </is>
      </c>
      <c r="K342" s="29" t="inlineStr">
        <is>
          <t>刷酱增加热量</t>
        </is>
      </c>
      <c r="L342" s="29" t="inlineStr"/>
    </row>
    <row r="343">
      <c r="A343" s="29" t="inlineStr">
        <is>
          <t>炸串（淀粉肠）</t>
        </is>
      </c>
      <c r="B343" s="29" t="inlineStr">
        <is>
          <t>外卖常见</t>
        </is>
      </c>
      <c r="C343" s="30" t="inlineStr">
        <is>
          <t>—</t>
        </is>
      </c>
      <c r="D343" s="31" t="n">
        <v>1255</v>
      </c>
      <c r="E343" s="31" t="n">
        <v>300</v>
      </c>
      <c r="F343" s="31" t="n">
        <v>80</v>
      </c>
      <c r="G343" s="31">
        <f>ROUND(D343*F343/100,0)</f>
        <v/>
      </c>
      <c r="H343" s="31">
        <f>ROUND(E343*F343/100,0)</f>
        <v/>
      </c>
      <c r="I343" s="29" t="inlineStr">
        <is>
          <t>碳水化合物(25g)、脂肪(20g)</t>
        </is>
      </c>
      <c r="J343" s="29" t="inlineStr">
        <is>
          <t>蛋白质(7g)、钠高</t>
        </is>
      </c>
      <c r="K343" s="29" t="inlineStr">
        <is>
          <t>加工肉，高钠高脂</t>
        </is>
      </c>
      <c r="L343" s="29" t="inlineStr"/>
    </row>
    <row r="344">
      <c r="A344" s="29" t="inlineStr">
        <is>
          <t>烤鱿鱼（整条）</t>
        </is>
      </c>
      <c r="B344" s="29" t="inlineStr">
        <is>
          <t>外卖常见</t>
        </is>
      </c>
      <c r="C344" s="30" t="inlineStr">
        <is>
          <t>—</t>
        </is>
      </c>
      <c r="D344" s="31" t="n">
        <v>628</v>
      </c>
      <c r="E344" s="31" t="n">
        <v>150</v>
      </c>
      <c r="F344" s="31" t="n">
        <v>150</v>
      </c>
      <c r="G344" s="31">
        <f>ROUND(D344*F344/100,0)</f>
        <v/>
      </c>
      <c r="H344" s="31">
        <f>ROUND(E344*F344/100,0)</f>
        <v/>
      </c>
      <c r="I344" s="29" t="inlineStr">
        <is>
          <t>蛋白质(18g)、脂肪(5g)</t>
        </is>
      </c>
      <c r="J344" s="29" t="inlineStr">
        <is>
          <t>牛磺酸、钠高（调料）</t>
        </is>
      </c>
      <c r="K344" s="29" t="inlineStr">
        <is>
          <t>刷料后钠含量大增</t>
        </is>
      </c>
      <c r="L344" s="29" t="inlineStr"/>
    </row>
    <row r="345">
      <c r="A345" s="29" t="inlineStr">
        <is>
          <t>小龙虾（蒜蓉）</t>
        </is>
      </c>
      <c r="B345" s="29" t="inlineStr">
        <is>
          <t>外卖常见</t>
        </is>
      </c>
      <c r="C345" s="30" t="inlineStr">
        <is>
          <t>—</t>
        </is>
      </c>
      <c r="D345" s="31" t="n">
        <v>502</v>
      </c>
      <c r="E345" s="31" t="n">
        <v>120</v>
      </c>
      <c r="F345" s="31" t="n">
        <v>300</v>
      </c>
      <c r="G345" s="31">
        <f>ROUND(D345*F345/100,0)</f>
        <v/>
      </c>
      <c r="H345" s="31">
        <f>ROUND(E345*F345/100,0)</f>
        <v/>
      </c>
      <c r="I345" s="29" t="inlineStr">
        <is>
          <t>蛋白质(14g)、脂肪(5g)</t>
        </is>
      </c>
      <c r="J345" s="29" t="inlineStr">
        <is>
          <t>锌、硒、牛磺酸，钠高</t>
        </is>
      </c>
      <c r="K345" s="29" t="inlineStr">
        <is>
          <t>夏季宵夜，虾肉低脂高蛋白</t>
        </is>
      </c>
      <c r="L345" s="29" t="inlineStr"/>
    </row>
    <row r="346">
      <c r="A346" s="29" t="inlineStr">
        <is>
          <t>小龙虾（麻辣）</t>
        </is>
      </c>
      <c r="B346" s="29" t="inlineStr">
        <is>
          <t>外卖常见</t>
        </is>
      </c>
      <c r="C346" s="30" t="inlineStr">
        <is>
          <t>—</t>
        </is>
      </c>
      <c r="D346" s="31" t="n">
        <v>628</v>
      </c>
      <c r="E346" s="31" t="n">
        <v>150</v>
      </c>
      <c r="F346" s="31" t="n">
        <v>300</v>
      </c>
      <c r="G346" s="31">
        <f>ROUND(D346*F346/100,0)</f>
        <v/>
      </c>
      <c r="H346" s="31">
        <f>ROUND(E346*F346/100,0)</f>
        <v/>
      </c>
      <c r="I346" s="29" t="inlineStr">
        <is>
          <t>蛋白质(13g)、脂肪(8g)</t>
        </is>
      </c>
      <c r="J346" s="29" t="inlineStr">
        <is>
          <t>辣椒素、钠极高</t>
        </is>
      </c>
      <c r="K346" s="29" t="inlineStr">
        <is>
          <t>红油口味热量高于蒜蓉</t>
        </is>
      </c>
      <c r="L346" s="29" t="inlineStr"/>
    </row>
    <row r="347">
      <c r="A347" s="29" t="inlineStr">
        <is>
          <t>烤脑花（干锅）</t>
        </is>
      </c>
      <c r="B347" s="29" t="inlineStr">
        <is>
          <t>外卖常见</t>
        </is>
      </c>
      <c r="C347" s="30" t="inlineStr">
        <is>
          <t>—</t>
        </is>
      </c>
      <c r="D347" s="31" t="n">
        <v>795</v>
      </c>
      <c r="E347" s="31" t="n">
        <v>190</v>
      </c>
      <c r="F347" s="31" t="n">
        <v>100</v>
      </c>
      <c r="G347" s="31">
        <f>ROUND(D347*F347/100,0)</f>
        <v/>
      </c>
      <c r="H347" s="31">
        <f>ROUND(E347*F347/100,0)</f>
        <v/>
      </c>
      <c r="I347" s="29" t="inlineStr">
        <is>
          <t>脂肪(17g)、蛋白质(11g)</t>
        </is>
      </c>
      <c r="J347" s="29" t="inlineStr">
        <is>
          <t>胆固醇极高(&gt;2000mg)</t>
        </is>
      </c>
      <c r="K347" s="29" t="inlineStr">
        <is>
          <t>高胆固醇，慎食</t>
        </is>
      </c>
      <c r="L347" s="29" t="inlineStr"/>
    </row>
    <row r="348">
      <c r="A348" s="29" t="inlineStr">
        <is>
          <t>炸鸡架</t>
        </is>
      </c>
      <c r="B348" s="29" t="inlineStr">
        <is>
          <t>外卖常见</t>
        </is>
      </c>
      <c r="C348" s="30" t="inlineStr">
        <is>
          <t>—</t>
        </is>
      </c>
      <c r="D348" s="31" t="n">
        <v>878</v>
      </c>
      <c r="E348" s="31" t="n">
        <v>210</v>
      </c>
      <c r="F348" s="31" t="n">
        <v>150</v>
      </c>
      <c r="G348" s="31">
        <f>ROUND(D348*F348/100,0)</f>
        <v/>
      </c>
      <c r="H348" s="31">
        <f>ROUND(E348*F348/100,0)</f>
        <v/>
      </c>
      <c r="I348" s="29" t="inlineStr">
        <is>
          <t>蛋白质(16g)、脂肪(14g)</t>
        </is>
      </c>
      <c r="J348" s="29" t="inlineStr">
        <is>
          <t>钠高、磷</t>
        </is>
      </c>
      <c r="K348" s="29" t="inlineStr">
        <is>
          <t>骨架肉，东北特色宵夜</t>
        </is>
      </c>
      <c r="L348" s="29" t="inlineStr"/>
    </row>
    <row r="349">
      <c r="A349" s="2" t="inlineStr">
        <is>
          <t>荞麦面（煮熟）</t>
        </is>
      </c>
      <c r="B349" s="2" t="inlineStr">
        <is>
          <t>主食</t>
        </is>
      </c>
      <c r="C349" s="3" t="inlineStr">
        <is>
          <t>—</t>
        </is>
      </c>
      <c r="D349" s="4" t="n">
        <v>418</v>
      </c>
      <c r="E349" s="4" t="n">
        <v>100</v>
      </c>
      <c r="F349" s="4" t="n">
        <v>200</v>
      </c>
      <c r="G349" s="4">
        <f>ROUND(D349*F349/100,0)</f>
        <v/>
      </c>
      <c r="H349" s="4">
        <f>ROUND(E349*F349/100,0)</f>
        <v/>
      </c>
      <c r="I349" s="2" t="inlineStr">
        <is>
          <t>碳水化合物(20g)、蛋白质(4g)</t>
        </is>
      </c>
      <c r="J349" s="2" t="inlineStr">
        <is>
          <t>膳食纤维(2g)、芦丁</t>
        </is>
      </c>
      <c r="K349" s="2" t="inlineStr">
        <is>
          <t>降血糖辅助，GI低</t>
        </is>
      </c>
      <c r="L349" s="2" t="inlineStr">
        <is>
          <t>荞麦</t>
        </is>
      </c>
    </row>
    <row r="350">
      <c r="A350" s="2" t="inlineStr">
        <is>
          <t>黑米饭</t>
        </is>
      </c>
      <c r="B350" s="2" t="inlineStr">
        <is>
          <t>主食</t>
        </is>
      </c>
      <c r="C350" s="3" t="inlineStr">
        <is>
          <t>—</t>
        </is>
      </c>
      <c r="D350" s="4" t="n">
        <v>502</v>
      </c>
      <c r="E350" s="4" t="n">
        <v>120</v>
      </c>
      <c r="F350" s="4" t="n">
        <v>200</v>
      </c>
      <c r="G350" s="4">
        <f>ROUND(D350*F350/100,0)</f>
        <v/>
      </c>
      <c r="H350" s="4">
        <f>ROUND(E350*F350/100,0)</f>
        <v/>
      </c>
      <c r="I350" s="2" t="inlineStr">
        <is>
          <t>碳水化合物(24g)、花青素</t>
        </is>
      </c>
      <c r="J350" s="2" t="inlineStr">
        <is>
          <t>膳食纤维、铁</t>
        </is>
      </c>
      <c r="K350" s="2" t="inlineStr">
        <is>
          <t>花青素抗氧化</t>
        </is>
      </c>
      <c r="L350" s="2" t="inlineStr">
        <is>
          <t>黑豆（生）</t>
        </is>
      </c>
    </row>
    <row r="351">
      <c r="A351" s="2" t="inlineStr">
        <is>
          <t>全麦吐司</t>
        </is>
      </c>
      <c r="B351" s="2" t="inlineStr">
        <is>
          <t>主食</t>
        </is>
      </c>
      <c r="C351" s="3" t="inlineStr">
        <is>
          <t>—</t>
        </is>
      </c>
      <c r="D351" s="4" t="n">
        <v>1004</v>
      </c>
      <c r="E351" s="4" t="n">
        <v>240</v>
      </c>
      <c r="F351" s="4" t="n">
        <v>50</v>
      </c>
      <c r="G351" s="4">
        <f>ROUND(D351*F351/100,0)</f>
        <v/>
      </c>
      <c r="H351" s="4">
        <f>ROUND(E351*F351/100,0)</f>
        <v/>
      </c>
      <c r="I351" s="2" t="inlineStr">
        <is>
          <t>碳水化合物(43g)、膳食纤维(5g)</t>
        </is>
      </c>
      <c r="J351" s="2" t="inlineStr">
        <is>
          <t>蛋白质(9g)、B族维生素</t>
        </is>
      </c>
      <c r="K351" s="2" t="inlineStr">
        <is>
          <t>比白吐司GI更低</t>
        </is>
      </c>
      <c r="L351" s="2" t="inlineStr">
        <is>
          <t>全麦粉、黄油</t>
        </is>
      </c>
    </row>
    <row r="352">
      <c r="A352" s="2" t="inlineStr">
        <is>
          <t>白吐司</t>
        </is>
      </c>
      <c r="B352" s="2" t="inlineStr">
        <is>
          <t>主食</t>
        </is>
      </c>
      <c r="C352" s="3" t="inlineStr">
        <is>
          <t>—</t>
        </is>
      </c>
      <c r="D352" s="4" t="n">
        <v>1088</v>
      </c>
      <c r="E352" s="4" t="n">
        <v>260</v>
      </c>
      <c r="F352" s="4" t="n">
        <v>50</v>
      </c>
      <c r="G352" s="4">
        <f>ROUND(D352*F352/100,0)</f>
        <v/>
      </c>
      <c r="H352" s="4">
        <f>ROUND(E352*F352/100,0)</f>
        <v/>
      </c>
      <c r="I352" s="2" t="inlineStr">
        <is>
          <t>碳水化合物(51g)、蛋白质(8g)</t>
        </is>
      </c>
      <c r="J352" s="2" t="inlineStr">
        <is>
          <t>少量B族维生素</t>
        </is>
      </c>
      <c r="K352" s="2" t="inlineStr">
        <is>
          <t>常见早餐，GI较高</t>
        </is>
      </c>
      <c r="L352" s="2" t="inlineStr">
        <is>
          <t>面粉、黄油</t>
        </is>
      </c>
    </row>
    <row r="353">
      <c r="A353" s="2" t="inlineStr">
        <is>
          <t>菠萝包</t>
        </is>
      </c>
      <c r="B353" s="2" t="inlineStr">
        <is>
          <t>主食</t>
        </is>
      </c>
      <c r="C353" s="3" t="inlineStr">
        <is>
          <t>—</t>
        </is>
      </c>
      <c r="D353" s="4" t="n">
        <v>1506</v>
      </c>
      <c r="E353" s="4" t="n">
        <v>360</v>
      </c>
      <c r="F353" s="4" t="n">
        <v>60</v>
      </c>
      <c r="G353" s="4">
        <f>ROUND(D353*F353/100,0)</f>
        <v/>
      </c>
      <c r="H353" s="4">
        <f>ROUND(E353*F353/100,0)</f>
        <v/>
      </c>
      <c r="I353" s="2" t="inlineStr">
        <is>
          <t>碳水化合物(55g)、脂肪(12g)</t>
        </is>
      </c>
      <c r="J353" s="2" t="inlineStr">
        <is>
          <t>糖(20g)、蛋白质(7g)</t>
        </is>
      </c>
      <c r="K353" s="2" t="inlineStr">
        <is>
          <t>港式甜面包，热量高</t>
        </is>
      </c>
      <c r="L353" s="2" t="inlineStr">
        <is>
          <t>面粉、黄油、白糖</t>
        </is>
      </c>
    </row>
    <row r="354">
      <c r="A354" s="2" t="inlineStr">
        <is>
          <t>沙琪玛</t>
        </is>
      </c>
      <c r="B354" s="2" t="inlineStr">
        <is>
          <t>主食</t>
        </is>
      </c>
      <c r="C354" s="3" t="inlineStr">
        <is>
          <t>—</t>
        </is>
      </c>
      <c r="D354" s="4" t="n">
        <v>1800</v>
      </c>
      <c r="E354" s="4" t="n">
        <v>430</v>
      </c>
      <c r="F354" s="4" t="n">
        <v>50</v>
      </c>
      <c r="G354" s="4">
        <f>ROUND(D354*F354/100,0)</f>
        <v/>
      </c>
      <c r="H354" s="4">
        <f>ROUND(E354*F354/100,0)</f>
        <v/>
      </c>
      <c r="I354" s="2" t="inlineStr">
        <is>
          <t>碳水化合物(65g)、脂肪(17g)</t>
        </is>
      </c>
      <c r="J354" s="2" t="inlineStr">
        <is>
          <t>糖(22g)、蛋白质(6g)</t>
        </is>
      </c>
      <c r="K354" s="2" t="inlineStr">
        <is>
          <t>油炸膨化糕点</t>
        </is>
      </c>
      <c r="L354" s="2" t="inlineStr">
        <is>
          <t>面粉、鸡蛋（全蛋）、白糖、菜籽油</t>
        </is>
      </c>
    </row>
    <row r="355">
      <c r="A355" s="2" t="inlineStr">
        <is>
          <t>肉松面包</t>
        </is>
      </c>
      <c r="B355" s="2" t="inlineStr">
        <is>
          <t>主食</t>
        </is>
      </c>
      <c r="C355" s="3" t="inlineStr">
        <is>
          <t>—</t>
        </is>
      </c>
      <c r="D355" s="4" t="n">
        <v>1380</v>
      </c>
      <c r="E355" s="4" t="n">
        <v>330</v>
      </c>
      <c r="F355" s="4" t="n">
        <v>80</v>
      </c>
      <c r="G355" s="4">
        <f>ROUND(D355*F355/100,0)</f>
        <v/>
      </c>
      <c r="H355" s="4">
        <f>ROUND(E355*F355/100,0)</f>
        <v/>
      </c>
      <c r="I355" s="2" t="inlineStr">
        <is>
          <t>碳水化合物(46g)、脂肪(12g)</t>
        </is>
      </c>
      <c r="J355" s="2" t="inlineStr">
        <is>
          <t>蛋白质(8g)、钠高</t>
        </is>
      </c>
      <c r="K355" s="2" t="inlineStr">
        <is>
          <t>常见早餐面包，热量较高</t>
        </is>
      </c>
      <c r="L355" s="2" t="inlineStr">
        <is>
          <t>面粉、猪腿肉（瘦）</t>
        </is>
      </c>
    </row>
    <row r="356">
      <c r="A356" s="2" t="inlineStr">
        <is>
          <t>杂粮馒头</t>
        </is>
      </c>
      <c r="B356" s="2" t="inlineStr">
        <is>
          <t>主食</t>
        </is>
      </c>
      <c r="C356" s="3" t="inlineStr">
        <is>
          <t>—</t>
        </is>
      </c>
      <c r="D356" s="4" t="n">
        <v>795</v>
      </c>
      <c r="E356" s="4" t="n">
        <v>190</v>
      </c>
      <c r="F356" s="4" t="n">
        <v>100</v>
      </c>
      <c r="G356" s="4">
        <f>ROUND(D356*F356/100,0)</f>
        <v/>
      </c>
      <c r="H356" s="4">
        <f>ROUND(E356*F356/100,0)</f>
        <v/>
      </c>
      <c r="I356" s="2" t="inlineStr">
        <is>
          <t>碳水化合物(38g)、膳食纤维(2g)</t>
        </is>
      </c>
      <c r="J356" s="2" t="inlineStr">
        <is>
          <t>蛋白质(6g)、B族维生素</t>
        </is>
      </c>
      <c r="K356" s="2" t="inlineStr">
        <is>
          <t>GI低于白馒头</t>
        </is>
      </c>
      <c r="L356" s="2" t="inlineStr">
        <is>
          <t>杂粮粉</t>
        </is>
      </c>
    </row>
    <row r="357">
      <c r="A357" s="2" t="inlineStr">
        <is>
          <t>红糖糍粑</t>
        </is>
      </c>
      <c r="B357" s="2" t="inlineStr">
        <is>
          <t>主食</t>
        </is>
      </c>
      <c r="C357" s="3" t="inlineStr">
        <is>
          <t>—</t>
        </is>
      </c>
      <c r="D357" s="4" t="n">
        <v>1255</v>
      </c>
      <c r="E357" s="4" t="n">
        <v>300</v>
      </c>
      <c r="F357" s="4" t="n">
        <v>100</v>
      </c>
      <c r="G357" s="4">
        <f>ROUND(D357*F357/100,0)</f>
        <v/>
      </c>
      <c r="H357" s="4">
        <f>ROUND(E357*F357/100,0)</f>
        <v/>
      </c>
      <c r="I357" s="2" t="inlineStr">
        <is>
          <t>碳水化合物(68g)、糖(18g)</t>
        </is>
      </c>
      <c r="J357" s="2" t="inlineStr">
        <is>
          <t>少量钙（红糖）</t>
        </is>
      </c>
      <c r="K357" s="2" t="inlineStr">
        <is>
          <t>糯米+红糖，高碳水</t>
        </is>
      </c>
      <c r="L357" s="2" t="inlineStr">
        <is>
          <t>糯米粉、红糖</t>
        </is>
      </c>
    </row>
    <row r="358">
      <c r="A358" s="20" t="inlineStr">
        <is>
          <t>卤蛋</t>
        </is>
      </c>
      <c r="B358" s="20" t="inlineStr">
        <is>
          <t>零食</t>
        </is>
      </c>
      <c r="C358" s="21" t="inlineStr">
        <is>
          <t>—</t>
        </is>
      </c>
      <c r="D358" s="22" t="n">
        <v>544</v>
      </c>
      <c r="E358" s="22" t="n">
        <v>130</v>
      </c>
      <c r="F358" s="22" t="n">
        <v>50</v>
      </c>
      <c r="G358" s="22">
        <f>ROUND(D358*F358/100,0)</f>
        <v/>
      </c>
      <c r="H358" s="22">
        <f>ROUND(E358*F358/100,0)</f>
        <v/>
      </c>
      <c r="I358" s="20" t="inlineStr">
        <is>
          <t>蛋白质(12g)、脂肪(9g)</t>
        </is>
      </c>
      <c r="J358" s="20" t="inlineStr">
        <is>
          <t>铁、维生素D、卵磷脂</t>
        </is>
      </c>
      <c r="K358" s="20" t="inlineStr">
        <is>
          <t>高蛋白零食，钠较高</t>
        </is>
      </c>
      <c r="L358" s="20" t="inlineStr"/>
    </row>
    <row r="359">
      <c r="A359" s="20" t="inlineStr">
        <is>
          <t>无糖希腊酸奶</t>
        </is>
      </c>
      <c r="B359" s="20" t="inlineStr">
        <is>
          <t>零食</t>
        </is>
      </c>
      <c r="C359" s="21" t="inlineStr">
        <is>
          <t>—</t>
        </is>
      </c>
      <c r="D359" s="22" t="n">
        <v>418</v>
      </c>
      <c r="E359" s="22" t="n">
        <v>100</v>
      </c>
      <c r="F359" s="22" t="n">
        <v>100</v>
      </c>
      <c r="G359" s="22">
        <f>ROUND(D359*F359/100,0)</f>
        <v/>
      </c>
      <c r="H359" s="22">
        <f>ROUND(E359*F359/100,0)</f>
        <v/>
      </c>
      <c r="I359" s="20" t="inlineStr">
        <is>
          <t>蛋白质(9g)、钙(110mg)</t>
        </is>
      </c>
      <c r="J359" s="20" t="inlineStr">
        <is>
          <t>益生菌、维生素B2</t>
        </is>
      </c>
      <c r="K359" s="20" t="inlineStr">
        <is>
          <t>高蛋白低糖零食</t>
        </is>
      </c>
      <c r="L359" s="20" t="inlineStr"/>
    </row>
    <row r="360">
      <c r="A360" s="20" t="inlineStr">
        <is>
          <t>即食鸡胸肉</t>
        </is>
      </c>
      <c r="B360" s="20" t="inlineStr">
        <is>
          <t>零食</t>
        </is>
      </c>
      <c r="C360" s="21" t="inlineStr">
        <is>
          <t>—</t>
        </is>
      </c>
      <c r="D360" s="22" t="n">
        <v>544</v>
      </c>
      <c r="E360" s="22" t="n">
        <v>130</v>
      </c>
      <c r="F360" s="22" t="n">
        <v>80</v>
      </c>
      <c r="G360" s="22">
        <f>ROUND(D360*F360/100,0)</f>
        <v/>
      </c>
      <c r="H360" s="22">
        <f>ROUND(E360*F360/100,0)</f>
        <v/>
      </c>
      <c r="I360" s="20" t="inlineStr">
        <is>
          <t>蛋白质(21g)、脂肪(4g)</t>
        </is>
      </c>
      <c r="J360" s="20" t="inlineStr">
        <is>
          <t>B3、磷</t>
        </is>
      </c>
      <c r="K360" s="20" t="inlineStr">
        <is>
          <t>健身零食，低脂高蛋白</t>
        </is>
      </c>
      <c r="L360" s="20" t="inlineStr"/>
    </row>
    <row r="361">
      <c r="A361" s="20" t="inlineStr">
        <is>
          <t>豆干（五香）</t>
        </is>
      </c>
      <c r="B361" s="20" t="inlineStr">
        <is>
          <t>零食</t>
        </is>
      </c>
      <c r="C361" s="21" t="inlineStr">
        <is>
          <t>—</t>
        </is>
      </c>
      <c r="D361" s="22" t="n">
        <v>628</v>
      </c>
      <c r="E361" s="22" t="n">
        <v>150</v>
      </c>
      <c r="F361" s="22" t="n">
        <v>50</v>
      </c>
      <c r="G361" s="22">
        <f>ROUND(D361*F361/100,0)</f>
        <v/>
      </c>
      <c r="H361" s="22">
        <f>ROUND(E361*F361/100,0)</f>
        <v/>
      </c>
      <c r="I361" s="20" t="inlineStr">
        <is>
          <t>蛋白质(16g)、脂肪(8g)</t>
        </is>
      </c>
      <c r="J361" s="20" t="inlineStr">
        <is>
          <t>钙、铁</t>
        </is>
      </c>
      <c r="K361" s="20" t="inlineStr">
        <is>
          <t>豆制品，优质植物蛋白</t>
        </is>
      </c>
      <c r="L361" s="20" t="inlineStr"/>
    </row>
    <row r="362">
      <c r="A362" s="20" t="inlineStr">
        <is>
          <t>巧克力（牛奶）</t>
        </is>
      </c>
      <c r="B362" s="20" t="inlineStr">
        <is>
          <t>零食</t>
        </is>
      </c>
      <c r="C362" s="21" t="inlineStr">
        <is>
          <t>—</t>
        </is>
      </c>
      <c r="D362" s="22" t="n">
        <v>2301</v>
      </c>
      <c r="E362" s="22" t="n">
        <v>550</v>
      </c>
      <c r="F362" s="22" t="n">
        <v>30</v>
      </c>
      <c r="G362" s="22">
        <f>ROUND(D362*F362/100,0)</f>
        <v/>
      </c>
      <c r="H362" s="22">
        <f>ROUND(E362*F362/100,0)</f>
        <v/>
      </c>
      <c r="I362" s="20" t="inlineStr">
        <is>
          <t>碳水化合物(54g)、脂肪(33g)、糖(48g)</t>
        </is>
      </c>
      <c r="J362" s="20" t="inlineStr">
        <is>
          <t>钙、镁、可可碱</t>
        </is>
      </c>
      <c r="K362" s="20" t="inlineStr">
        <is>
          <t>高热量，建议选70%+黑巧</t>
        </is>
      </c>
      <c r="L362" s="20" t="inlineStr"/>
    </row>
    <row r="363">
      <c r="A363" s="20" t="inlineStr">
        <is>
          <t>黑巧克力（70%）</t>
        </is>
      </c>
      <c r="B363" s="20" t="inlineStr">
        <is>
          <t>零食</t>
        </is>
      </c>
      <c r="C363" s="21" t="inlineStr">
        <is>
          <t>—</t>
        </is>
      </c>
      <c r="D363" s="22" t="n">
        <v>2218</v>
      </c>
      <c r="E363" s="22" t="n">
        <v>530</v>
      </c>
      <c r="F363" s="22" t="n">
        <v>20</v>
      </c>
      <c r="G363" s="22">
        <f>ROUND(D363*F363/100,0)</f>
        <v/>
      </c>
      <c r="H363" s="22">
        <f>ROUND(E363*F363/100,0)</f>
        <v/>
      </c>
      <c r="I363" s="20" t="inlineStr">
        <is>
          <t>脂肪(42g)、碳水化合物(45g)、糖(24g)</t>
        </is>
      </c>
      <c r="J363" s="20" t="inlineStr">
        <is>
          <t>镁、铁、可可多酚</t>
        </is>
      </c>
      <c r="K363" s="20" t="inlineStr">
        <is>
          <t>抗氧化好于牛奶巧克力</t>
        </is>
      </c>
      <c r="L363" s="20" t="inlineStr"/>
    </row>
    <row r="364">
      <c r="A364" s="20" t="inlineStr">
        <is>
          <t>蛋白棒</t>
        </is>
      </c>
      <c r="B364" s="20" t="inlineStr">
        <is>
          <t>零食</t>
        </is>
      </c>
      <c r="C364" s="21" t="inlineStr">
        <is>
          <t>—</t>
        </is>
      </c>
      <c r="D364" s="22" t="n">
        <v>1590</v>
      </c>
      <c r="E364" s="22" t="n">
        <v>380</v>
      </c>
      <c r="F364" s="22" t="n">
        <v>60</v>
      </c>
      <c r="G364" s="22">
        <f>ROUND(D364*F364/100,0)</f>
        <v/>
      </c>
      <c r="H364" s="22">
        <f>ROUND(E364*F364/100,0)</f>
        <v/>
      </c>
      <c r="I364" s="20" t="inlineStr">
        <is>
          <t>蛋白质(20g)、碳水化合物(40g)</t>
        </is>
      </c>
      <c r="J364" s="20" t="inlineStr">
        <is>
          <t>脂肪(10g)、钙</t>
        </is>
      </c>
      <c r="K364" s="20" t="inlineStr">
        <is>
          <t>健身营养品</t>
        </is>
      </c>
      <c r="L364" s="20" t="inlineStr"/>
    </row>
    <row r="365">
      <c r="A365" s="20" t="inlineStr">
        <is>
          <t>无糖饼干（全麦）</t>
        </is>
      </c>
      <c r="B365" s="20" t="inlineStr">
        <is>
          <t>零食</t>
        </is>
      </c>
      <c r="C365" s="21" t="inlineStr">
        <is>
          <t>—</t>
        </is>
      </c>
      <c r="D365" s="22" t="n">
        <v>1674</v>
      </c>
      <c r="E365" s="22" t="n">
        <v>400</v>
      </c>
      <c r="F365" s="22" t="n">
        <v>25</v>
      </c>
      <c r="G365" s="22">
        <f>ROUND(D365*F365/100,0)</f>
        <v/>
      </c>
      <c r="H365" s="22">
        <f>ROUND(E365*F365/100,0)</f>
        <v/>
      </c>
      <c r="I365" s="20" t="inlineStr">
        <is>
          <t>碳水化合物(60g)、膳食纤维(4g)</t>
        </is>
      </c>
      <c r="J365" s="20" t="inlineStr">
        <is>
          <t>蛋白质(8g)、B族维生素</t>
        </is>
      </c>
      <c r="K365" s="20" t="inlineStr">
        <is>
          <t>无糖≠低热量</t>
        </is>
      </c>
      <c r="L365" s="20" t="inlineStr"/>
    </row>
    <row r="366">
      <c r="A366" s="20" t="inlineStr">
        <is>
          <t>奥利奥</t>
        </is>
      </c>
      <c r="B366" s="20" t="inlineStr">
        <is>
          <t>零食</t>
        </is>
      </c>
      <c r="C366" s="21" t="inlineStr">
        <is>
          <t>—</t>
        </is>
      </c>
      <c r="D366" s="22" t="n">
        <v>2050</v>
      </c>
      <c r="E366" s="22" t="n">
        <v>490</v>
      </c>
      <c r="F366" s="22" t="n">
        <v>25</v>
      </c>
      <c r="G366" s="22">
        <f>ROUND(D366*F366/100,0)</f>
        <v/>
      </c>
      <c r="H366" s="22">
        <f>ROUND(E366*F366/100,0)</f>
        <v/>
      </c>
      <c r="I366" s="20" t="inlineStr">
        <is>
          <t>碳水化合物(68g)、脂肪(21g)、糖(28g)</t>
        </is>
      </c>
      <c r="J366" s="20" t="inlineStr">
        <is>
          <t>少量铁</t>
        </is>
      </c>
      <c r="K366" s="20" t="inlineStr">
        <is>
          <t>高糖高脂，3片约122kcal</t>
        </is>
      </c>
      <c r="L366" s="20" t="inlineStr"/>
    </row>
    <row r="367">
      <c r="A367" s="20" t="inlineStr">
        <is>
          <t>开心果</t>
        </is>
      </c>
      <c r="B367" s="20" t="inlineStr">
        <is>
          <t>零食</t>
        </is>
      </c>
      <c r="C367" s="21" t="inlineStr">
        <is>
          <t>—</t>
        </is>
      </c>
      <c r="D367" s="22" t="n">
        <v>2399</v>
      </c>
      <c r="E367" s="22" t="n">
        <v>573</v>
      </c>
      <c r="F367" s="22" t="n">
        <v>20</v>
      </c>
      <c r="G367" s="22">
        <f>ROUND(D367*F367/100,0)</f>
        <v/>
      </c>
      <c r="H367" s="22">
        <f>ROUND(E367*F367/100,0)</f>
        <v/>
      </c>
      <c r="I367" s="20" t="inlineStr">
        <is>
          <t>脂肪(46g)、蛋白质(21g)</t>
        </is>
      </c>
      <c r="J367" s="20" t="inlineStr">
        <is>
          <t>维生素B6、铜、锰</t>
        </is>
      </c>
      <c r="K367" s="20" t="inlineStr">
        <is>
          <t>高热量，适量食用</t>
        </is>
      </c>
      <c r="L367" s="20" t="inlineStr"/>
    </row>
    <row r="368">
      <c r="A368" s="20" t="inlineStr">
        <is>
          <t>夏威夷果</t>
        </is>
      </c>
      <c r="B368" s="20" t="inlineStr">
        <is>
          <t>零食</t>
        </is>
      </c>
      <c r="C368" s="21" t="inlineStr">
        <is>
          <t>—</t>
        </is>
      </c>
      <c r="D368" s="22" t="n">
        <v>2879</v>
      </c>
      <c r="E368" s="22" t="n">
        <v>688</v>
      </c>
      <c r="F368" s="22" t="n">
        <v>20</v>
      </c>
      <c r="G368" s="22">
        <f>ROUND(D368*F368/100,0)</f>
        <v/>
      </c>
      <c r="H368" s="22">
        <f>ROUND(E368*F368/100,0)</f>
        <v/>
      </c>
      <c r="I368" s="20" t="inlineStr">
        <is>
          <t>脂肪(76g)、蛋白质(8g)</t>
        </is>
      </c>
      <c r="J368" s="20" t="inlineStr">
        <is>
          <t>单不饱和脂肪酸丰富</t>
        </is>
      </c>
      <c r="K368" s="20" t="inlineStr">
        <is>
          <t>热量最高的坚果之一</t>
        </is>
      </c>
      <c r="L368" s="20" t="inlineStr"/>
    </row>
    <row r="369">
      <c r="A369" s="20" t="inlineStr">
        <is>
          <t>板栗</t>
        </is>
      </c>
      <c r="B369" s="20" t="inlineStr">
        <is>
          <t>零食</t>
        </is>
      </c>
      <c r="C369" s="21" t="inlineStr">
        <is>
          <t>—</t>
        </is>
      </c>
      <c r="D369" s="22" t="n">
        <v>770</v>
      </c>
      <c r="E369" s="22" t="n">
        <v>184</v>
      </c>
      <c r="F369" s="22" t="n">
        <v>50</v>
      </c>
      <c r="G369" s="22">
        <f>ROUND(D369*F369/100,0)</f>
        <v/>
      </c>
      <c r="H369" s="22">
        <f>ROUND(E369*F369/100,0)</f>
        <v/>
      </c>
      <c r="I369" s="20" t="inlineStr">
        <is>
          <t>碳水化合物(40g)、膳食纤维(1.2g)</t>
        </is>
      </c>
      <c r="J369" s="20" t="inlineStr">
        <is>
          <t>维生素C、钾</t>
        </is>
      </c>
      <c r="K369" s="20" t="inlineStr">
        <is>
          <t>淀粉类坚果，热量低于油脂坚果</t>
        </is>
      </c>
      <c r="L369" s="20" t="inlineStr"/>
    </row>
    <row r="370">
      <c r="A370" s="23" t="inlineStr">
        <is>
          <t>蛋黄莲蓉月饼</t>
        </is>
      </c>
      <c r="B370" s="23" t="inlineStr">
        <is>
          <t>甜点</t>
        </is>
      </c>
      <c r="C370" s="24" t="inlineStr">
        <is>
          <t>—</t>
        </is>
      </c>
      <c r="D370" s="25" t="n">
        <v>1632</v>
      </c>
      <c r="E370" s="25" t="n">
        <v>390</v>
      </c>
      <c r="F370" s="25" t="n">
        <v>75</v>
      </c>
      <c r="G370" s="25">
        <f>ROUND(D370*F370/100,0)</f>
        <v/>
      </c>
      <c r="H370" s="25">
        <f>ROUND(E370*F370/100,0)</f>
        <v/>
      </c>
      <c r="I370" s="23" t="inlineStr">
        <is>
          <t>碳水化合物(55g)、脂肪(18g)</t>
        </is>
      </c>
      <c r="J370" s="23" t="inlineStr">
        <is>
          <t>糖(30g)、胆固醇（蛋黄）</t>
        </is>
      </c>
      <c r="K370" s="23" t="inlineStr">
        <is>
          <t>传统月饼，高糖高脂</t>
        </is>
      </c>
      <c r="L370" s="23" t="inlineStr"/>
    </row>
    <row r="371">
      <c r="A371" s="23" t="inlineStr">
        <is>
          <t>冰皮月饼</t>
        </is>
      </c>
      <c r="B371" s="23" t="inlineStr">
        <is>
          <t>甜点</t>
        </is>
      </c>
      <c r="C371" s="24" t="inlineStr">
        <is>
          <t>—</t>
        </is>
      </c>
      <c r="D371" s="25" t="n">
        <v>1172</v>
      </c>
      <c r="E371" s="25" t="n">
        <v>280</v>
      </c>
      <c r="F371" s="25" t="n">
        <v>80</v>
      </c>
      <c r="G371" s="25">
        <f>ROUND(D371*F371/100,0)</f>
        <v/>
      </c>
      <c r="H371" s="25">
        <f>ROUND(E371*F371/100,0)</f>
        <v/>
      </c>
      <c r="I371" s="23" t="inlineStr">
        <is>
          <t>碳水化合物(50g)、脂肪(10g)</t>
        </is>
      </c>
      <c r="J371" s="23" t="inlineStr">
        <is>
          <t>糖(25g)、蛋白质(4g)</t>
        </is>
      </c>
      <c r="K371" s="23" t="inlineStr">
        <is>
          <t>中秋节令食品</t>
        </is>
      </c>
      <c r="L371" s="23" t="inlineStr"/>
    </row>
    <row r="372">
      <c r="A372" s="23" t="inlineStr">
        <is>
          <t>榴莲千层</t>
        </is>
      </c>
      <c r="B372" s="23" t="inlineStr">
        <is>
          <t>甜点</t>
        </is>
      </c>
      <c r="C372" s="24" t="inlineStr">
        <is>
          <t>—</t>
        </is>
      </c>
      <c r="D372" s="25" t="n">
        <v>1590</v>
      </c>
      <c r="E372" s="25" t="n">
        <v>380</v>
      </c>
      <c r="F372" s="25" t="n">
        <v>100</v>
      </c>
      <c r="G372" s="25">
        <f>ROUND(D372*F372/100,0)</f>
        <v/>
      </c>
      <c r="H372" s="25">
        <f>ROUND(E372*F372/100,0)</f>
        <v/>
      </c>
      <c r="I372" s="23" t="inlineStr">
        <is>
          <t>脂肪(25g)、碳水化合物(42g)</t>
        </is>
      </c>
      <c r="J372" s="23" t="inlineStr">
        <is>
          <t>蛋白质(5g)、糖(20g)</t>
        </is>
      </c>
      <c r="K372" s="23" t="inlineStr">
        <is>
          <t>奶油+榴莲，热量极高</t>
        </is>
      </c>
      <c r="L372" s="23" t="inlineStr"/>
    </row>
    <row r="373">
      <c r="A373" s="23" t="inlineStr">
        <is>
          <t>蛋挞</t>
        </is>
      </c>
      <c r="B373" s="23" t="inlineStr">
        <is>
          <t>甜点</t>
        </is>
      </c>
      <c r="C373" s="24" t="inlineStr">
        <is>
          <t>—</t>
        </is>
      </c>
      <c r="D373" s="25" t="n">
        <v>1339</v>
      </c>
      <c r="E373" s="25" t="n">
        <v>320</v>
      </c>
      <c r="F373" s="25" t="n">
        <v>80</v>
      </c>
      <c r="G373" s="25">
        <f>ROUND(D373*F373/100,0)</f>
        <v/>
      </c>
      <c r="H373" s="25">
        <f>ROUND(E373*F373/100,0)</f>
        <v/>
      </c>
      <c r="I373" s="23" t="inlineStr">
        <is>
          <t>碳水化合物(34g)、脂肪(19g)、糖(15g)</t>
        </is>
      </c>
      <c r="J373" s="23" t="inlineStr">
        <is>
          <t>蛋白质(7g)、钙</t>
        </is>
      </c>
      <c r="K373" s="23" t="inlineStr">
        <is>
          <t>酥皮蛋挞热量高</t>
        </is>
      </c>
      <c r="L373" s="23" t="inlineStr"/>
    </row>
    <row r="374">
      <c r="A374" s="23" t="inlineStr">
        <is>
          <t>芋圆</t>
        </is>
      </c>
      <c r="B374" s="23" t="inlineStr">
        <is>
          <t>甜点</t>
        </is>
      </c>
      <c r="C374" s="24" t="inlineStr">
        <is>
          <t>—</t>
        </is>
      </c>
      <c r="D374" s="25" t="n">
        <v>795</v>
      </c>
      <c r="E374" s="25" t="n">
        <v>190</v>
      </c>
      <c r="F374" s="25" t="n">
        <v>150</v>
      </c>
      <c r="G374" s="25">
        <f>ROUND(D374*F374/100,0)</f>
        <v/>
      </c>
      <c r="H374" s="25">
        <f>ROUND(E374*F374/100,0)</f>
        <v/>
      </c>
      <c r="I374" s="23" t="inlineStr">
        <is>
          <t>碳水化合物(44g)、糖(8g)</t>
        </is>
      </c>
      <c r="J374" s="23" t="inlineStr">
        <is>
          <t>少量膳食纤维</t>
        </is>
      </c>
      <c r="K374" s="23" t="inlineStr">
        <is>
          <t>木薯淀粉/芋头制，高碳水</t>
        </is>
      </c>
      <c r="L374" s="23" t="inlineStr"/>
    </row>
    <row r="375">
      <c r="A375" s="23" t="inlineStr">
        <is>
          <t>草莓大福</t>
        </is>
      </c>
      <c r="B375" s="23" t="inlineStr">
        <is>
          <t>甜点</t>
        </is>
      </c>
      <c r="C375" s="24" t="inlineStr">
        <is>
          <t>—</t>
        </is>
      </c>
      <c r="D375" s="25" t="n">
        <v>879</v>
      </c>
      <c r="E375" s="25" t="n">
        <v>210</v>
      </c>
      <c r="F375" s="25" t="n">
        <v>60</v>
      </c>
      <c r="G375" s="25">
        <f>ROUND(D375*F375/100,0)</f>
        <v/>
      </c>
      <c r="H375" s="25">
        <f>ROUND(E375*F375/100,0)</f>
        <v/>
      </c>
      <c r="I375" s="23" t="inlineStr">
        <is>
          <t>碳水化合物(44g)、糖(18g)</t>
        </is>
      </c>
      <c r="J375" s="23" t="inlineStr">
        <is>
          <t>少量蛋白质和脂肪</t>
        </is>
      </c>
      <c r="K375" s="23" t="inlineStr">
        <is>
          <t>日式风格，中国常见</t>
        </is>
      </c>
      <c r="L375" s="23" t="inlineStr"/>
    </row>
    <row r="376">
      <c r="A376" s="23" t="inlineStr">
        <is>
          <t>奶油泡芙</t>
        </is>
      </c>
      <c r="B376" s="23" t="inlineStr">
        <is>
          <t>甜点</t>
        </is>
      </c>
      <c r="C376" s="24" t="inlineStr">
        <is>
          <t>—</t>
        </is>
      </c>
      <c r="D376" s="25" t="n">
        <v>1339</v>
      </c>
      <c r="E376" s="25" t="n">
        <v>320</v>
      </c>
      <c r="F376" s="25" t="n">
        <v>80</v>
      </c>
      <c r="G376" s="25">
        <f>ROUND(D376*F376/100,0)</f>
        <v/>
      </c>
      <c r="H376" s="25">
        <f>ROUND(E376*F376/100,0)</f>
        <v/>
      </c>
      <c r="I376" s="23" t="inlineStr">
        <is>
          <t>碳水化合物(32g)、脂肪(18g)</t>
        </is>
      </c>
      <c r="J376" s="23" t="inlineStr">
        <is>
          <t>蛋白质(6g)、钙</t>
        </is>
      </c>
      <c r="K376" s="23" t="inlineStr">
        <is>
          <t>奶油泡芙，法式点心</t>
        </is>
      </c>
      <c r="L376" s="23" t="inlineStr"/>
    </row>
    <row r="377">
      <c r="A377" s="23" t="inlineStr">
        <is>
          <t>豆沙包</t>
        </is>
      </c>
      <c r="B377" s="23" t="inlineStr">
        <is>
          <t>甜点</t>
        </is>
      </c>
      <c r="C377" s="24" t="inlineStr">
        <is>
          <t>—</t>
        </is>
      </c>
      <c r="D377" s="25" t="n">
        <v>879</v>
      </c>
      <c r="E377" s="25" t="n">
        <v>210</v>
      </c>
      <c r="F377" s="25" t="n">
        <v>80</v>
      </c>
      <c r="G377" s="25">
        <f>ROUND(D377*F377/100,0)</f>
        <v/>
      </c>
      <c r="H377" s="25">
        <f>ROUND(E377*F377/100,0)</f>
        <v/>
      </c>
      <c r="I377" s="23" t="inlineStr">
        <is>
          <t>碳水化合物(44g)、糖(18g)、蛋白质(6g)</t>
        </is>
      </c>
      <c r="J377" s="23" t="inlineStr">
        <is>
          <t>膳食纤维(红豆)、铁</t>
        </is>
      </c>
      <c r="K377" s="23" t="inlineStr">
        <is>
          <t>偏甜，含糖量高</t>
        </is>
      </c>
      <c r="L377" s="23" t="inlineStr"/>
    </row>
    <row r="378">
      <c r="A378" s="23" t="inlineStr">
        <is>
          <t>流心奶黄包</t>
        </is>
      </c>
      <c r="B378" s="23" t="inlineStr">
        <is>
          <t>甜点</t>
        </is>
      </c>
      <c r="C378" s="24" t="inlineStr">
        <is>
          <t>—</t>
        </is>
      </c>
      <c r="D378" s="25" t="n">
        <v>1046</v>
      </c>
      <c r="E378" s="25" t="n">
        <v>250</v>
      </c>
      <c r="F378" s="25" t="n">
        <v>80</v>
      </c>
      <c r="G378" s="25">
        <f>ROUND(D378*F378/100,0)</f>
        <v/>
      </c>
      <c r="H378" s="25">
        <f>ROUND(E378*F378/100,0)</f>
        <v/>
      </c>
      <c r="I378" s="23" t="inlineStr">
        <is>
          <t>碳水化合物(38g)、脂肪(14g)、糖(20g)</t>
        </is>
      </c>
      <c r="J378" s="23" t="inlineStr">
        <is>
          <t>蛋白质(7g)、钙</t>
        </is>
      </c>
      <c r="K378" s="23" t="inlineStr">
        <is>
          <t>比普通奶黄包脂肪高</t>
        </is>
      </c>
      <c r="L378" s="23" t="inlineStr"/>
    </row>
    <row r="379">
      <c r="A379" s="26" t="inlineStr">
        <is>
          <t>燕麦奶</t>
        </is>
      </c>
      <c r="B379" s="26" t="inlineStr">
        <is>
          <t>饮品</t>
        </is>
      </c>
      <c r="C379" s="27" t="inlineStr">
        <is>
          <t>—</t>
        </is>
      </c>
      <c r="D379" s="28" t="n">
        <v>180</v>
      </c>
      <c r="E379" s="28" t="n">
        <v>43</v>
      </c>
      <c r="F379" s="28" t="n">
        <v>250</v>
      </c>
      <c r="G379" s="28">
        <f>ROUND(D379*F379/100,0)</f>
        <v/>
      </c>
      <c r="H379" s="28">
        <f>ROUND(E379*F379/100,0)</f>
        <v/>
      </c>
      <c r="I379" s="26" t="inlineStr">
        <is>
          <t>碳水化合物(7g)、蛋白质(1g)</t>
        </is>
      </c>
      <c r="J379" s="26" t="inlineStr">
        <is>
          <t>β-葡聚糖、维生素D</t>
        </is>
      </c>
      <c r="K379" s="26" t="inlineStr">
        <is>
          <t>植物奶，蛋白质较少</t>
        </is>
      </c>
      <c r="L379" s="26" t="inlineStr"/>
    </row>
    <row r="380">
      <c r="A380" s="26" t="inlineStr">
        <is>
          <t>酸奶（全脂原味）</t>
        </is>
      </c>
      <c r="B380" s="26" t="inlineStr">
        <is>
          <t>饮品</t>
        </is>
      </c>
      <c r="C380" s="27" t="inlineStr">
        <is>
          <t>—</t>
        </is>
      </c>
      <c r="D380" s="28" t="n">
        <v>301</v>
      </c>
      <c r="E380" s="28" t="n">
        <v>72</v>
      </c>
      <c r="F380" s="28" t="n">
        <v>200</v>
      </c>
      <c r="G380" s="28">
        <f>ROUND(D380*F380/100,0)</f>
        <v/>
      </c>
      <c r="H380" s="28">
        <f>ROUND(E380*F380/100,0)</f>
        <v/>
      </c>
      <c r="I380" s="26" t="inlineStr">
        <is>
          <t>蛋白质(3.5g)、钙(120mg)</t>
        </is>
      </c>
      <c r="J380" s="26" t="inlineStr">
        <is>
          <t>益生菌、维生素B2</t>
        </is>
      </c>
      <c r="K380" s="26" t="inlineStr">
        <is>
          <t>加糖风味酸奶热量更高</t>
        </is>
      </c>
      <c r="L380" s="26" t="inlineStr"/>
    </row>
    <row r="381">
      <c r="A381" s="26" t="inlineStr">
        <is>
          <t>乳酸菌饮料</t>
        </is>
      </c>
      <c r="B381" s="26" t="inlineStr">
        <is>
          <t>饮品</t>
        </is>
      </c>
      <c r="C381" s="27" t="inlineStr">
        <is>
          <t>—</t>
        </is>
      </c>
      <c r="D381" s="28" t="n">
        <v>251</v>
      </c>
      <c r="E381" s="28" t="n">
        <v>60</v>
      </c>
      <c r="F381" s="28" t="n">
        <v>200</v>
      </c>
      <c r="G381" s="28">
        <f>ROUND(D381*F381/100,0)</f>
        <v/>
      </c>
      <c r="H381" s="28">
        <f>ROUND(E381*F381/100,0)</f>
        <v/>
      </c>
      <c r="I381" s="26" t="inlineStr">
        <is>
          <t>碳水化合物(13g)、糖(11g)</t>
        </is>
      </c>
      <c r="J381" s="26" t="inlineStr">
        <is>
          <t>少量益生菌</t>
        </is>
      </c>
      <c r="K381" s="26" t="inlineStr">
        <is>
          <t>含糖量高，与含糖饮料相当</t>
        </is>
      </c>
      <c r="L381" s="26" t="inlineStr"/>
    </row>
    <row r="382">
      <c r="A382" s="26" t="inlineStr">
        <is>
          <t>运动饮料（脉动等）</t>
        </is>
      </c>
      <c r="B382" s="26" t="inlineStr">
        <is>
          <t>饮品</t>
        </is>
      </c>
      <c r="C382" s="27" t="inlineStr">
        <is>
          <t>—</t>
        </is>
      </c>
      <c r="D382" s="28" t="n">
        <v>84</v>
      </c>
      <c r="E382" s="28" t="n">
        <v>20</v>
      </c>
      <c r="F382" s="28" t="n">
        <v>500</v>
      </c>
      <c r="G382" s="28">
        <f>ROUND(D382*F382/100,0)</f>
        <v/>
      </c>
      <c r="H382" s="28">
        <f>ROUND(E382*F382/100,0)</f>
        <v/>
      </c>
      <c r="I382" s="26" t="inlineStr">
        <is>
          <t>碳水化合物(5g)、糖(4.5g)</t>
        </is>
      </c>
      <c r="J382" s="26" t="inlineStr">
        <is>
          <t>钠、钾（电解质）</t>
        </is>
      </c>
      <c r="K382" s="26" t="inlineStr">
        <is>
          <t>补充电解质，日常无需大量</t>
        </is>
      </c>
      <c r="L382" s="26" t="inlineStr"/>
    </row>
    <row r="383">
      <c r="A383" s="26" t="inlineStr">
        <is>
          <t>红牛</t>
        </is>
      </c>
      <c r="B383" s="26" t="inlineStr">
        <is>
          <t>饮品</t>
        </is>
      </c>
      <c r="C383" s="27" t="inlineStr">
        <is>
          <t>—</t>
        </is>
      </c>
      <c r="D383" s="28" t="n">
        <v>200</v>
      </c>
      <c r="E383" s="28" t="n">
        <v>48</v>
      </c>
      <c r="F383" s="28" t="n">
        <v>250</v>
      </c>
      <c r="G383" s="28">
        <f>ROUND(D383*F383/100,0)</f>
        <v/>
      </c>
      <c r="H383" s="28">
        <f>ROUND(E383*F383/100,0)</f>
        <v/>
      </c>
      <c r="I383" s="26" t="inlineStr">
        <is>
          <t>碳水化合物(11g)、糖(11g)</t>
        </is>
      </c>
      <c r="J383" s="26" t="inlineStr">
        <is>
          <t>咖啡因(50mg/罐)、牛磺酸</t>
        </is>
      </c>
      <c r="K383" s="26" t="inlineStr">
        <is>
          <t>含糖，咖啡因可提神</t>
        </is>
      </c>
      <c r="L383" s="26" t="inlineStr"/>
    </row>
    <row r="384">
      <c r="A384" s="26" t="inlineStr">
        <is>
          <t>芋泥奶茶</t>
        </is>
      </c>
      <c r="B384" s="26" t="inlineStr">
        <is>
          <t>饮品</t>
        </is>
      </c>
      <c r="C384" s="27" t="inlineStr">
        <is>
          <t>—</t>
        </is>
      </c>
      <c r="D384" s="28" t="n">
        <v>502</v>
      </c>
      <c r="E384" s="28" t="n">
        <v>120</v>
      </c>
      <c r="F384" s="28" t="n">
        <v>500</v>
      </c>
      <c r="G384" s="28">
        <f>ROUND(D384*F384/100,0)</f>
        <v/>
      </c>
      <c r="H384" s="28">
        <f>ROUND(E384*F384/100,0)</f>
        <v/>
      </c>
      <c r="I384" s="26" t="inlineStr">
        <is>
          <t>碳水化合物(22g)、脂肪(4g)</t>
        </is>
      </c>
      <c r="J384" s="26" t="inlineStr">
        <is>
          <t>糖(16g)、少量钙</t>
        </is>
      </c>
      <c r="K384" s="26" t="inlineStr">
        <is>
          <t>芋泥增加碳水热量</t>
        </is>
      </c>
      <c r="L384" s="26" t="inlineStr"/>
    </row>
    <row r="385">
      <c r="A385" s="26" t="inlineStr">
        <is>
          <t>抹茶拿铁</t>
        </is>
      </c>
      <c r="B385" s="26" t="inlineStr">
        <is>
          <t>饮品</t>
        </is>
      </c>
      <c r="C385" s="27" t="inlineStr">
        <is>
          <t>—</t>
        </is>
      </c>
      <c r="D385" s="28" t="n">
        <v>334</v>
      </c>
      <c r="E385" s="28" t="n">
        <v>80</v>
      </c>
      <c r="F385" s="28" t="n">
        <v>350</v>
      </c>
      <c r="G385" s="28">
        <f>ROUND(D385*F385/100,0)</f>
        <v/>
      </c>
      <c r="H385" s="28">
        <f>ROUND(E385*F385/100,0)</f>
        <v/>
      </c>
      <c r="I385" s="26" t="inlineStr">
        <is>
          <t>碳水化合物(12g)、蛋白质(4g)</t>
        </is>
      </c>
      <c r="J385" s="26" t="inlineStr">
        <is>
          <t>茶多酚、钙、脂肪(3g)</t>
        </is>
      </c>
      <c r="K385" s="26" t="inlineStr">
        <is>
          <t>含糖版热量更高</t>
        </is>
      </c>
      <c r="L385" s="26" t="inlineStr"/>
    </row>
    <row r="386">
      <c r="A386" s="26" t="inlineStr">
        <is>
          <t>酸梅汤（加糖）</t>
        </is>
      </c>
      <c r="B386" s="26" t="inlineStr">
        <is>
          <t>饮品</t>
        </is>
      </c>
      <c r="C386" s="27" t="inlineStr">
        <is>
          <t>—</t>
        </is>
      </c>
      <c r="D386" s="28" t="n">
        <v>180</v>
      </c>
      <c r="E386" s="28" t="n">
        <v>43</v>
      </c>
      <c r="F386" s="28" t="n">
        <v>300</v>
      </c>
      <c r="G386" s="28">
        <f>ROUND(D386*F386/100,0)</f>
        <v/>
      </c>
      <c r="H386" s="28">
        <f>ROUND(E386*F386/100,0)</f>
        <v/>
      </c>
      <c r="I386" s="26" t="inlineStr">
        <is>
          <t>碳水化合物(10g)、糖(9g)</t>
        </is>
      </c>
      <c r="J386" s="26" t="inlineStr">
        <is>
          <t>乌梅有机酸、维生素C</t>
        </is>
      </c>
      <c r="K386" s="26" t="inlineStr">
        <is>
          <t>夏季解暑，含糖注意热量</t>
        </is>
      </c>
      <c r="L386" s="26" t="inlineStr"/>
    </row>
    <row r="387">
      <c r="A387" s="26" t="inlineStr">
        <is>
          <t>蜂蜜柚子茶</t>
        </is>
      </c>
      <c r="B387" s="26" t="inlineStr">
        <is>
          <t>饮品</t>
        </is>
      </c>
      <c r="C387" s="27" t="inlineStr">
        <is>
          <t>—</t>
        </is>
      </c>
      <c r="D387" s="28" t="n">
        <v>251</v>
      </c>
      <c r="E387" s="28" t="n">
        <v>60</v>
      </c>
      <c r="F387" s="28" t="n">
        <v>300</v>
      </c>
      <c r="G387" s="28">
        <f>ROUND(D387*F387/100,0)</f>
        <v/>
      </c>
      <c r="H387" s="28">
        <f>ROUND(E387*F387/100,0)</f>
        <v/>
      </c>
      <c r="I387" s="26" t="inlineStr">
        <is>
          <t>碳水化合物(14g)、糖(12g)</t>
        </is>
      </c>
      <c r="J387" s="26" t="inlineStr">
        <is>
          <t>维生素C（柚子）</t>
        </is>
      </c>
      <c r="K387" s="26" t="inlineStr">
        <is>
          <t>含糖较多</t>
        </is>
      </c>
      <c r="L387" s="26" t="inlineStr"/>
    </row>
    <row r="388">
      <c r="A388" s="26" t="inlineStr">
        <is>
          <t>气泡水（无糖）</t>
        </is>
      </c>
      <c r="B388" s="26" t="inlineStr">
        <is>
          <t>饮品</t>
        </is>
      </c>
      <c r="C388" s="27" t="inlineStr">
        <is>
          <t>—</t>
        </is>
      </c>
      <c r="D388" s="28" t="n">
        <v>0</v>
      </c>
      <c r="E388" s="28" t="n">
        <v>0</v>
      </c>
      <c r="F388" s="28" t="n">
        <v>350</v>
      </c>
      <c r="G388" s="28">
        <f>ROUND(D388*F388/100,0)</f>
        <v/>
      </c>
      <c r="H388" s="28">
        <f>ROUND(E388*F388/100,0)</f>
        <v/>
      </c>
      <c r="I388" s="26" t="inlineStr">
        <is>
          <t>无热量</t>
        </is>
      </c>
      <c r="J388" s="26" t="inlineStr">
        <is>
          <t>少量矿物质</t>
        </is>
      </c>
      <c r="K388" s="26" t="inlineStr">
        <is>
          <t>代替碳酸饮料好选择</t>
        </is>
      </c>
      <c r="L388" s="26" t="inlineStr"/>
    </row>
    <row r="389">
      <c r="A389" s="26" t="inlineStr">
        <is>
          <t>苏打水（无糖）</t>
        </is>
      </c>
      <c r="B389" s="26" t="inlineStr">
        <is>
          <t>饮品</t>
        </is>
      </c>
      <c r="C389" s="27" t="inlineStr">
        <is>
          <t>—</t>
        </is>
      </c>
      <c r="D389" s="28" t="n">
        <v>0</v>
      </c>
      <c r="E389" s="28" t="n">
        <v>0</v>
      </c>
      <c r="F389" s="28" t="n">
        <v>330</v>
      </c>
      <c r="G389" s="28">
        <f>ROUND(D389*F389/100,0)</f>
        <v/>
      </c>
      <c r="H389" s="28">
        <f>ROUND(E389*F389/100,0)</f>
        <v/>
      </c>
      <c r="I389" s="26" t="inlineStr">
        <is>
          <t>无热量</t>
        </is>
      </c>
      <c r="J389" s="26" t="inlineStr">
        <is>
          <t>碳酸氢钠（少量）</t>
        </is>
      </c>
      <c r="K389" s="26" t="inlineStr">
        <is>
          <t>无热量，可中和胃酸</t>
        </is>
      </c>
      <c r="L389" s="26" t="inlineStr"/>
    </row>
    <row r="390">
      <c r="A390" s="26" t="inlineStr">
        <is>
          <t>菊花茶（无糖）</t>
        </is>
      </c>
      <c r="B390" s="26" t="inlineStr">
        <is>
          <t>饮品</t>
        </is>
      </c>
      <c r="C390" s="27" t="inlineStr">
        <is>
          <t>—</t>
        </is>
      </c>
      <c r="D390" s="28" t="n">
        <v>8</v>
      </c>
      <c r="E390" s="28" t="n">
        <v>2</v>
      </c>
      <c r="F390" s="28" t="n">
        <v>300</v>
      </c>
      <c r="G390" s="28">
        <f>ROUND(D390*F390/100,0)</f>
        <v/>
      </c>
      <c r="H390" s="28">
        <f>ROUND(E390*F390/100,0)</f>
        <v/>
      </c>
      <c r="I390" s="26" t="inlineStr">
        <is>
          <t>黄酮类化合物</t>
        </is>
      </c>
      <c r="J390" s="26" t="inlineStr">
        <is>
          <t>少量矿物质</t>
        </is>
      </c>
      <c r="K390" s="26" t="inlineStr">
        <is>
          <t>几乎无热量，清热明目</t>
        </is>
      </c>
      <c r="L390" s="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6" customWidth="1" min="4" max="4"/>
    <col width="12" customWidth="1" min="5" max="5"/>
    <col width="13" customWidth="1" min="6" max="6"/>
    <col width="14" customWidth="1" min="7" max="7"/>
    <col width="42" customWidth="1" min="8" max="8"/>
    <col width="38" customWidth="1" min="9" max="9"/>
    <col width="48" customWidth="1" min="10" max="10"/>
  </cols>
  <sheetData>
    <row r="1" ht="36" customHeight="1">
      <c r="A1" s="1" t="inlineStr">
        <is>
          <t>名称</t>
        </is>
      </c>
      <c r="B1" s="1" t="inlineStr">
        <is>
          <t>分类</t>
        </is>
      </c>
      <c r="C1" s="1" t="inlineStr">
        <is>
          <t>每100g热量(kJ)</t>
        </is>
      </c>
      <c r="D1" s="1" t="inlineStr">
        <is>
          <t>每100g能量(kcal)</t>
        </is>
      </c>
      <c r="E1" s="1" t="inlineStr">
        <is>
          <t>常见每份(g)</t>
        </is>
      </c>
      <c r="F1" s="1" t="inlineStr">
        <is>
          <t>每份热量(kJ)</t>
        </is>
      </c>
      <c r="G1" s="1" t="inlineStr">
        <is>
          <t>每份能量(kcal)</t>
        </is>
      </c>
      <c r="H1" s="1" t="inlineStr">
        <is>
          <t>核心营养成分</t>
        </is>
      </c>
      <c r="I1" s="1" t="inlineStr">
        <is>
          <t>其他营养成分</t>
        </is>
      </c>
      <c r="J1" s="1" t="inlineStr">
        <is>
          <t>备注</t>
        </is>
      </c>
    </row>
    <row r="2">
      <c r="A2" s="5" t="inlineStr">
        <is>
          <t>大白菜</t>
        </is>
      </c>
      <c r="B2" s="5" t="inlineStr">
        <is>
          <t>蔬菜类</t>
        </is>
      </c>
      <c r="C2" s="7" t="n">
        <v>63</v>
      </c>
      <c r="D2" s="7" t="n">
        <v>15</v>
      </c>
      <c r="E2" s="7" t="n">
        <v>200</v>
      </c>
      <c r="F2" s="7">
        <f>ROUND(C2*E2/100,0)</f>
        <v/>
      </c>
      <c r="G2" s="7">
        <f>ROUND(D2*E2/100,0)</f>
        <v/>
      </c>
      <c r="H2" s="5" t="inlineStr">
        <is>
          <t>维生素C(31mg)、膳食纤维(0.8g)</t>
        </is>
      </c>
      <c r="I2" s="5" t="inlineStr">
        <is>
          <t>钾、叶酸、钙</t>
        </is>
      </c>
      <c r="J2" s="5" t="inlineStr">
        <is>
          <t>水分高达95%，低热量</t>
        </is>
      </c>
    </row>
    <row r="3">
      <c r="A3" s="5" t="inlineStr">
        <is>
          <t>小白菜</t>
        </is>
      </c>
      <c r="B3" s="5" t="inlineStr">
        <is>
          <t>蔬菜类</t>
        </is>
      </c>
      <c r="C3" s="7" t="n">
        <v>59</v>
      </c>
      <c r="D3" s="7" t="n">
        <v>14</v>
      </c>
      <c r="E3" s="7" t="n">
        <v>150</v>
      </c>
      <c r="F3" s="7">
        <f>ROUND(C3*E3/100,0)</f>
        <v/>
      </c>
      <c r="G3" s="7">
        <f>ROUND(D3*E3/100,0)</f>
        <v/>
      </c>
      <c r="H3" s="5" t="inlineStr">
        <is>
          <t>维生素C(28mg)、维生素K</t>
        </is>
      </c>
      <c r="I3" s="5" t="inlineStr">
        <is>
          <t>钙(90mg)、叶酸</t>
        </is>
      </c>
      <c r="J3" s="5" t="inlineStr">
        <is>
          <t>含钙量较高的蔬菜</t>
        </is>
      </c>
    </row>
    <row r="4">
      <c r="A4" s="5" t="inlineStr">
        <is>
          <t>菠菜</t>
        </is>
      </c>
      <c r="B4" s="5" t="inlineStr">
        <is>
          <t>蔬菜类</t>
        </is>
      </c>
      <c r="C4" s="7" t="n">
        <v>92</v>
      </c>
      <c r="D4" s="7" t="n">
        <v>22</v>
      </c>
      <c r="E4" s="7" t="n">
        <v>150</v>
      </c>
      <c r="F4" s="7">
        <f>ROUND(C4*E4/100,0)</f>
        <v/>
      </c>
      <c r="G4" s="7">
        <f>ROUND(D4*E4/100,0)</f>
        <v/>
      </c>
      <c r="H4" s="5" t="inlineStr">
        <is>
          <t>维生素K(极高)、铁(2.9mg)、叶酸</t>
        </is>
      </c>
      <c r="I4" s="5" t="inlineStr">
        <is>
          <t>β-胡萝卜素、维生素C</t>
        </is>
      </c>
      <c r="J4" s="5" t="inlineStr">
        <is>
          <t>草酸较高，焯水后食用</t>
        </is>
      </c>
    </row>
    <row r="5">
      <c r="A5" s="5" t="inlineStr">
        <is>
          <t>油菜</t>
        </is>
      </c>
      <c r="B5" s="5" t="inlineStr">
        <is>
          <t>蔬菜类</t>
        </is>
      </c>
      <c r="C5" s="7" t="n">
        <v>92</v>
      </c>
      <c r="D5" s="7" t="n">
        <v>22</v>
      </c>
      <c r="E5" s="7" t="n">
        <v>150</v>
      </c>
      <c r="F5" s="7">
        <f>ROUND(C5*E5/100,0)</f>
        <v/>
      </c>
      <c r="G5" s="7">
        <f>ROUND(D5*E5/100,0)</f>
        <v/>
      </c>
      <c r="H5" s="5" t="inlineStr">
        <is>
          <t>维生素C(36mg)、维生素K</t>
        </is>
      </c>
      <c r="I5" s="5" t="inlineStr">
        <is>
          <t>钙、钾、叶酸</t>
        </is>
      </c>
      <c r="J5" s="5" t="inlineStr">
        <is>
          <t>十字花科，营养均衡</t>
        </is>
      </c>
    </row>
    <row r="6">
      <c r="A6" s="5" t="inlineStr">
        <is>
          <t>生菜</t>
        </is>
      </c>
      <c r="B6" s="5" t="inlineStr">
        <is>
          <t>蔬菜类</t>
        </is>
      </c>
      <c r="C6" s="7" t="n">
        <v>55</v>
      </c>
      <c r="D6" s="7" t="n">
        <v>13</v>
      </c>
      <c r="E6" s="7" t="n">
        <v>100</v>
      </c>
      <c r="F6" s="7">
        <f>ROUND(C6*E6/100,0)</f>
        <v/>
      </c>
      <c r="G6" s="7">
        <f>ROUND(D6*E6/100,0)</f>
        <v/>
      </c>
      <c r="H6" s="5" t="inlineStr">
        <is>
          <t>维生素K(高)、叶酸</t>
        </is>
      </c>
      <c r="I6" s="5" t="inlineStr">
        <is>
          <t>维生素C、钾</t>
        </is>
      </c>
      <c r="J6" s="5" t="inlineStr">
        <is>
          <t>水分92%，极低热量</t>
        </is>
      </c>
    </row>
    <row r="7">
      <c r="A7" s="5" t="inlineStr">
        <is>
          <t>空心菜</t>
        </is>
      </c>
      <c r="B7" s="5" t="inlineStr">
        <is>
          <t>蔬菜类</t>
        </is>
      </c>
      <c r="C7" s="7" t="n">
        <v>84</v>
      </c>
      <c r="D7" s="7" t="n">
        <v>20</v>
      </c>
      <c r="E7" s="7" t="n">
        <v>150</v>
      </c>
      <c r="F7" s="7">
        <f>ROUND(C7*E7/100,0)</f>
        <v/>
      </c>
      <c r="G7" s="7">
        <f>ROUND(D7*E7/100,0)</f>
        <v/>
      </c>
      <c r="H7" s="5" t="inlineStr">
        <is>
          <t>维生素C(26mg)、维生素K</t>
        </is>
      </c>
      <c r="I7" s="5" t="inlineStr">
        <is>
          <t>铁(2.5mg)、钙</t>
        </is>
      </c>
      <c r="J7" s="5" t="inlineStr">
        <is>
          <t>夏季常见绿叶菜</t>
        </is>
      </c>
    </row>
    <row r="8">
      <c r="A8" s="5" t="inlineStr">
        <is>
          <t>苋菜</t>
        </is>
      </c>
      <c r="B8" s="5" t="inlineStr">
        <is>
          <t>蔬菜类</t>
        </is>
      </c>
      <c r="C8" s="7" t="n">
        <v>105</v>
      </c>
      <c r="D8" s="7" t="n">
        <v>25</v>
      </c>
      <c r="E8" s="7" t="n">
        <v>150</v>
      </c>
      <c r="F8" s="7">
        <f>ROUND(C8*E8/100,0)</f>
        <v/>
      </c>
      <c r="G8" s="7">
        <f>ROUND(D8*E8/100,0)</f>
        <v/>
      </c>
      <c r="H8" s="5" t="inlineStr">
        <is>
          <t>铁(5.4mg,极高)、钙(180mg)</t>
        </is>
      </c>
      <c r="I8" s="5" t="inlineStr">
        <is>
          <t>维生素C、叶酸</t>
        </is>
      </c>
      <c r="J8" s="5" t="inlineStr">
        <is>
          <t>补铁蔬菜，含草酸注意</t>
        </is>
      </c>
    </row>
    <row r="9">
      <c r="A9" s="5" t="inlineStr">
        <is>
          <t>韭菜</t>
        </is>
      </c>
      <c r="B9" s="5" t="inlineStr">
        <is>
          <t>蔬菜类</t>
        </is>
      </c>
      <c r="C9" s="7" t="n">
        <v>105</v>
      </c>
      <c r="D9" s="7" t="n">
        <v>25</v>
      </c>
      <c r="E9" s="7" t="n">
        <v>100</v>
      </c>
      <c r="F9" s="7">
        <f>ROUND(C9*E9/100,0)</f>
        <v/>
      </c>
      <c r="G9" s="7">
        <f>ROUND(D9*E9/100,0)</f>
        <v/>
      </c>
      <c r="H9" s="5" t="inlineStr">
        <is>
          <t>维生素K、膳食纤维(1.4g)</t>
        </is>
      </c>
      <c r="I9" s="5" t="inlineStr">
        <is>
          <t>β-胡萝卜素、维生素C</t>
        </is>
      </c>
      <c r="J9" s="5" t="inlineStr">
        <is>
          <t>含硫化合物，健胃助消化</t>
        </is>
      </c>
    </row>
    <row r="10">
      <c r="A10" s="5" t="inlineStr">
        <is>
          <t>西兰花</t>
        </is>
      </c>
      <c r="B10" s="5" t="inlineStr">
        <is>
          <t>蔬菜类</t>
        </is>
      </c>
      <c r="C10" s="7" t="n">
        <v>138</v>
      </c>
      <c r="D10" s="7" t="n">
        <v>33</v>
      </c>
      <c r="E10" s="7" t="n">
        <v>200</v>
      </c>
      <c r="F10" s="7">
        <f>ROUND(C10*E10/100,0)</f>
        <v/>
      </c>
      <c r="G10" s="7">
        <f>ROUND(D10*E10/100,0)</f>
        <v/>
      </c>
      <c r="H10" s="5" t="inlineStr">
        <is>
          <t>维生素C(高,89mg)、维生素K</t>
        </is>
      </c>
      <c r="I10" s="5" t="inlineStr">
        <is>
          <t>膳食纤维(2.6g)、叶酸</t>
        </is>
      </c>
      <c r="J10" s="5" t="inlineStr">
        <is>
          <t>营养密度极高，十字花科</t>
        </is>
      </c>
    </row>
    <row r="11">
      <c r="A11" s="5" t="inlineStr">
        <is>
          <t>花椰菜（白）</t>
        </is>
      </c>
      <c r="B11" s="5" t="inlineStr">
        <is>
          <t>蔬菜类</t>
        </is>
      </c>
      <c r="C11" s="7" t="n">
        <v>109</v>
      </c>
      <c r="D11" s="7" t="n">
        <v>26</v>
      </c>
      <c r="E11" s="7" t="n">
        <v>200</v>
      </c>
      <c r="F11" s="7">
        <f>ROUND(C11*E11/100,0)</f>
        <v/>
      </c>
      <c r="G11" s="7">
        <f>ROUND(D11*E11/100,0)</f>
        <v/>
      </c>
      <c r="H11" s="5" t="inlineStr">
        <is>
          <t>维生素C(48mg)、膳食纤维(2g)</t>
        </is>
      </c>
      <c r="I11" s="5" t="inlineStr">
        <is>
          <t>叶酸、维生素B6</t>
        </is>
      </c>
      <c r="J11" s="5" t="inlineStr">
        <is>
          <t>低热量，可代替主食</t>
        </is>
      </c>
    </row>
    <row r="12">
      <c r="A12" s="5" t="inlineStr">
        <is>
          <t>包菜/圆白菜</t>
        </is>
      </c>
      <c r="B12" s="5" t="inlineStr">
        <is>
          <t>蔬菜类</t>
        </is>
      </c>
      <c r="C12" s="7" t="n">
        <v>92</v>
      </c>
      <c r="D12" s="7" t="n">
        <v>22</v>
      </c>
      <c r="E12" s="7" t="n">
        <v>200</v>
      </c>
      <c r="F12" s="7">
        <f>ROUND(C12*E12/100,0)</f>
        <v/>
      </c>
      <c r="G12" s="7">
        <f>ROUND(D12*E12/100,0)</f>
        <v/>
      </c>
      <c r="H12" s="5" t="inlineStr">
        <is>
          <t>维生素C(36mg)、维生素K</t>
        </is>
      </c>
      <c r="I12" s="5" t="inlineStr">
        <is>
          <t>膳食纤维(2.5g)、钾</t>
        </is>
      </c>
      <c r="J12" s="5" t="inlineStr">
        <is>
          <t>十字花科，生食营养更佳</t>
        </is>
      </c>
    </row>
    <row r="13">
      <c r="A13" s="5" t="inlineStr">
        <is>
          <t>紫甘蓝</t>
        </is>
      </c>
      <c r="B13" s="5" t="inlineStr">
        <is>
          <t>蔬菜类</t>
        </is>
      </c>
      <c r="C13" s="7" t="n">
        <v>109</v>
      </c>
      <c r="D13" s="7" t="n">
        <v>26</v>
      </c>
      <c r="E13" s="7" t="n">
        <v>100</v>
      </c>
      <c r="F13" s="7">
        <f>ROUND(C13*E13/100,0)</f>
        <v/>
      </c>
      <c r="G13" s="7">
        <f>ROUND(D13*E13/100,0)</f>
        <v/>
      </c>
      <c r="H13" s="5" t="inlineStr">
        <is>
          <t>花青素(高)、维生素C</t>
        </is>
      </c>
      <c r="I13" s="5" t="inlineStr">
        <is>
          <t>维生素K、钾</t>
        </is>
      </c>
      <c r="J13" s="5" t="inlineStr">
        <is>
          <t>花青素抗氧化强</t>
        </is>
      </c>
    </row>
    <row r="14">
      <c r="A14" s="5" t="inlineStr">
        <is>
          <t>番茄</t>
        </is>
      </c>
      <c r="B14" s="5" t="inlineStr">
        <is>
          <t>蔬菜类</t>
        </is>
      </c>
      <c r="C14" s="7" t="n">
        <v>75</v>
      </c>
      <c r="D14" s="7" t="n">
        <v>18</v>
      </c>
      <c r="E14" s="7" t="n">
        <v>200</v>
      </c>
      <c r="F14" s="7">
        <f>ROUND(C14*E14/100,0)</f>
        <v/>
      </c>
      <c r="G14" s="7">
        <f>ROUND(D14*E14/100,0)</f>
        <v/>
      </c>
      <c r="H14" s="5" t="inlineStr">
        <is>
          <t>番茄红素(高)、维生素C(19mg)</t>
        </is>
      </c>
      <c r="I14" s="5" t="inlineStr">
        <is>
          <t>钾、叶酸</t>
        </is>
      </c>
      <c r="J14" s="5" t="inlineStr">
        <is>
          <t>加热后番茄红素利用率更高</t>
        </is>
      </c>
    </row>
    <row r="15">
      <c r="A15" s="5" t="inlineStr">
        <is>
          <t>黄瓜</t>
        </is>
      </c>
      <c r="B15" s="5" t="inlineStr">
        <is>
          <t>蔬菜类</t>
        </is>
      </c>
      <c r="C15" s="7" t="n">
        <v>63</v>
      </c>
      <c r="D15" s="7" t="n">
        <v>15</v>
      </c>
      <c r="E15" s="7" t="n">
        <v>200</v>
      </c>
      <c r="F15" s="7">
        <f>ROUND(C15*E15/100,0)</f>
        <v/>
      </c>
      <c r="G15" s="7">
        <f>ROUND(D15*E15/100,0)</f>
        <v/>
      </c>
      <c r="H15" s="5" t="inlineStr">
        <is>
          <t>维生素K、维生素C(2.8mg)</t>
        </is>
      </c>
      <c r="I15" s="5" t="inlineStr">
        <is>
          <t>钾、水分96%</t>
        </is>
      </c>
      <c r="J15" s="5" t="inlineStr">
        <is>
          <t>热量极低，利尿消肿</t>
        </is>
      </c>
    </row>
    <row r="16">
      <c r="A16" s="5" t="inlineStr">
        <is>
          <t>茄子</t>
        </is>
      </c>
      <c r="B16" s="5" t="inlineStr">
        <is>
          <t>蔬菜类</t>
        </is>
      </c>
      <c r="C16" s="7" t="n">
        <v>88</v>
      </c>
      <c r="D16" s="7" t="n">
        <v>21</v>
      </c>
      <c r="E16" s="7" t="n">
        <v>200</v>
      </c>
      <c r="F16" s="7">
        <f>ROUND(C16*E16/100,0)</f>
        <v/>
      </c>
      <c r="G16" s="7">
        <f>ROUND(D16*E16/100,0)</f>
        <v/>
      </c>
      <c r="H16" s="5" t="inlineStr">
        <is>
          <t>花青素（紫皮）、膳食纤维(3g)</t>
        </is>
      </c>
      <c r="I16" s="5" t="inlineStr">
        <is>
          <t>钾、叶酸</t>
        </is>
      </c>
      <c r="J16" s="5" t="inlineStr">
        <is>
          <t>吸油性强，烹饪方式影响热量大</t>
        </is>
      </c>
    </row>
    <row r="17">
      <c r="A17" s="5" t="inlineStr">
        <is>
          <t>青椒</t>
        </is>
      </c>
      <c r="B17" s="5" t="inlineStr">
        <is>
          <t>蔬菜类</t>
        </is>
      </c>
      <c r="C17" s="7" t="n">
        <v>92</v>
      </c>
      <c r="D17" s="7" t="n">
        <v>22</v>
      </c>
      <c r="E17" s="7" t="n">
        <v>150</v>
      </c>
      <c r="F17" s="7">
        <f>ROUND(C17*E17/100,0)</f>
        <v/>
      </c>
      <c r="G17" s="7">
        <f>ROUND(D17*E17/100,0)</f>
        <v/>
      </c>
      <c r="H17" s="5" t="inlineStr">
        <is>
          <t>维生素C(极高,72mg)、维生素K</t>
        </is>
      </c>
      <c r="I17" s="5" t="inlineStr">
        <is>
          <t>辣椒素（少量）、钾</t>
        </is>
      </c>
      <c r="J17" s="5" t="inlineStr">
        <is>
          <t>维生素C含量高于橙子</t>
        </is>
      </c>
    </row>
    <row r="18">
      <c r="A18" s="5" t="inlineStr">
        <is>
          <t>红椒</t>
        </is>
      </c>
      <c r="B18" s="5" t="inlineStr">
        <is>
          <t>蔬菜类</t>
        </is>
      </c>
      <c r="C18" s="7" t="n">
        <v>138</v>
      </c>
      <c r="D18" s="7" t="n">
        <v>33</v>
      </c>
      <c r="E18" s="7" t="n">
        <v>150</v>
      </c>
      <c r="F18" s="7">
        <f>ROUND(C18*E18/100,0)</f>
        <v/>
      </c>
      <c r="G18" s="7">
        <f>ROUND(D18*E18/100,0)</f>
        <v/>
      </c>
      <c r="H18" s="5" t="inlineStr">
        <is>
          <t>维生素C(极高,128mg)、β-胡萝卜素</t>
        </is>
      </c>
      <c r="I18" s="5" t="inlineStr">
        <is>
          <t>维生素K、叶酸</t>
        </is>
      </c>
      <c r="J18" s="5" t="inlineStr">
        <is>
          <t>彩椒中维生素C最高</t>
        </is>
      </c>
    </row>
    <row r="19">
      <c r="A19" s="5" t="inlineStr">
        <is>
          <t>胡萝卜</t>
        </is>
      </c>
      <c r="B19" s="5" t="inlineStr">
        <is>
          <t>蔬菜类</t>
        </is>
      </c>
      <c r="C19" s="7" t="n">
        <v>155</v>
      </c>
      <c r="D19" s="7" t="n">
        <v>37</v>
      </c>
      <c r="E19" s="7" t="n">
        <v>100</v>
      </c>
      <c r="F19" s="7">
        <f>ROUND(C19*E19/100,0)</f>
        <v/>
      </c>
      <c r="G19" s="7">
        <f>ROUND(D19*E19/100,0)</f>
        <v/>
      </c>
      <c r="H19" s="5" t="inlineStr">
        <is>
          <t>β-胡萝卜素(极高,8285μg)</t>
        </is>
      </c>
      <c r="I19" s="5" t="inlineStr">
        <is>
          <t>膳食纤维(2.8g)、钾</t>
        </is>
      </c>
      <c r="J19" s="5" t="inlineStr">
        <is>
          <t>脂溶性维生素，搭配油脂吸收更好</t>
        </is>
      </c>
    </row>
    <row r="20">
      <c r="A20" s="5" t="inlineStr">
        <is>
          <t>白萝卜</t>
        </is>
      </c>
      <c r="B20" s="5" t="inlineStr">
        <is>
          <t>蔬菜类</t>
        </is>
      </c>
      <c r="C20" s="7" t="n">
        <v>63</v>
      </c>
      <c r="D20" s="7" t="n">
        <v>15</v>
      </c>
      <c r="E20" s="7" t="n">
        <v>200</v>
      </c>
      <c r="F20" s="7">
        <f>ROUND(C20*E20/100,0)</f>
        <v/>
      </c>
      <c r="G20" s="7">
        <f>ROUND(D20*E20/100,0)</f>
        <v/>
      </c>
      <c r="H20" s="5" t="inlineStr">
        <is>
          <t>维生素C(21mg)、异硫氰酸盐</t>
        </is>
      </c>
      <c r="I20" s="5" t="inlineStr">
        <is>
          <t>膳食纤维(1g)、钾</t>
        </is>
      </c>
      <c r="J20" s="5" t="inlineStr">
        <is>
          <t>消食化气，低热量</t>
        </is>
      </c>
    </row>
    <row r="21">
      <c r="A21" s="5" t="inlineStr">
        <is>
          <t>莲藕</t>
        </is>
      </c>
      <c r="B21" s="5" t="inlineStr">
        <is>
          <t>蔬菜类</t>
        </is>
      </c>
      <c r="C21" s="7" t="n">
        <v>293</v>
      </c>
      <c r="D21" s="7" t="n">
        <v>70</v>
      </c>
      <c r="E21" s="7" t="n">
        <v>150</v>
      </c>
      <c r="F21" s="7">
        <f>ROUND(C21*E21/100,0)</f>
        <v/>
      </c>
      <c r="G21" s="7">
        <f>ROUND(D21*E21/100,0)</f>
        <v/>
      </c>
      <c r="H21" s="5" t="inlineStr">
        <is>
          <t>碳水化合物(16g)、维生素C(44mg)</t>
        </is>
      </c>
      <c r="I21" s="5" t="inlineStr">
        <is>
          <t>膳食纤维(1.2g)、铁</t>
        </is>
      </c>
      <c r="J21" s="5" t="inlineStr">
        <is>
          <t>淀粉含量较高，注意热量</t>
        </is>
      </c>
    </row>
    <row r="22">
      <c r="A22" s="5" t="inlineStr">
        <is>
          <t>山药</t>
        </is>
      </c>
      <c r="B22" s="5" t="inlineStr">
        <is>
          <t>蔬菜类</t>
        </is>
      </c>
      <c r="C22" s="7" t="n">
        <v>234</v>
      </c>
      <c r="D22" s="7" t="n">
        <v>56</v>
      </c>
      <c r="E22" s="7" t="n">
        <v>150</v>
      </c>
      <c r="F22" s="7">
        <f>ROUND(C22*E22/100,0)</f>
        <v/>
      </c>
      <c r="G22" s="7">
        <f>ROUND(D22*E22/100,0)</f>
        <v/>
      </c>
      <c r="H22" s="5" t="inlineStr">
        <is>
          <t>碳水化合物(12g)、黏蛋白</t>
        </is>
      </c>
      <c r="I22" s="5" t="inlineStr">
        <is>
          <t>膳食纤维、钾</t>
        </is>
      </c>
      <c r="J22" s="5" t="inlineStr">
        <is>
          <t>健脾益胃，GI低</t>
        </is>
      </c>
    </row>
    <row r="23">
      <c r="A23" s="5" t="inlineStr">
        <is>
          <t>土豆</t>
        </is>
      </c>
      <c r="B23" s="5" t="inlineStr">
        <is>
          <t>蔬菜类</t>
        </is>
      </c>
      <c r="C23" s="7" t="n">
        <v>318</v>
      </c>
      <c r="D23" s="7" t="n">
        <v>76</v>
      </c>
      <c r="E23" s="7" t="n">
        <v>150</v>
      </c>
      <c r="F23" s="7">
        <f>ROUND(C23*E23/100,0)</f>
        <v/>
      </c>
      <c r="G23" s="7">
        <f>ROUND(D23*E23/100,0)</f>
        <v/>
      </c>
      <c r="H23" s="5" t="inlineStr">
        <is>
          <t>碳水化合物(17g)、钾(高,342mg)</t>
        </is>
      </c>
      <c r="I23" s="5" t="inlineStr">
        <is>
          <t>维生素C、维生素B6</t>
        </is>
      </c>
      <c r="J23" s="5" t="inlineStr">
        <is>
          <t>GI中等，烹饪方式影响热量大</t>
        </is>
      </c>
    </row>
    <row r="24">
      <c r="A24" s="5" t="inlineStr">
        <is>
          <t>红薯</t>
        </is>
      </c>
      <c r="B24" s="5" t="inlineStr">
        <is>
          <t>蔬菜类</t>
        </is>
      </c>
      <c r="C24" s="7" t="n">
        <v>397</v>
      </c>
      <c r="D24" s="7" t="n">
        <v>95</v>
      </c>
      <c r="E24" s="7" t="n">
        <v>150</v>
      </c>
      <c r="F24" s="7">
        <f>ROUND(C24*E24/100,0)</f>
        <v/>
      </c>
      <c r="G24" s="7">
        <f>ROUND(D24*E24/100,0)</f>
        <v/>
      </c>
      <c r="H24" s="5" t="inlineStr">
        <is>
          <t>碳水化合物(22g)、β-胡萝卜素</t>
        </is>
      </c>
      <c r="I24" s="5" t="inlineStr">
        <is>
          <t>膳食纤维(3g)、钾</t>
        </is>
      </c>
      <c r="J24" s="5" t="inlineStr">
        <is>
          <t>GI偏高，但营养丰富</t>
        </is>
      </c>
    </row>
    <row r="25">
      <c r="A25" s="5" t="inlineStr">
        <is>
          <t>芋头</t>
        </is>
      </c>
      <c r="B25" s="5" t="inlineStr">
        <is>
          <t>蔬菜类</t>
        </is>
      </c>
      <c r="C25" s="7" t="n">
        <v>280</v>
      </c>
      <c r="D25" s="7" t="n">
        <v>67</v>
      </c>
      <c r="E25" s="7" t="n">
        <v>150</v>
      </c>
      <c r="F25" s="7">
        <f>ROUND(C25*E25/100,0)</f>
        <v/>
      </c>
      <c r="G25" s="7">
        <f>ROUND(D25*E25/100,0)</f>
        <v/>
      </c>
      <c r="H25" s="5" t="inlineStr">
        <is>
          <t>碳水化合物(13g)、膳食纤维(1g)</t>
        </is>
      </c>
      <c r="I25" s="5" t="inlineStr">
        <is>
          <t>钾、镁</t>
        </is>
      </c>
      <c r="J25" s="5" t="inlineStr">
        <is>
          <t>GI低，饱腹感强</t>
        </is>
      </c>
    </row>
    <row r="26">
      <c r="A26" s="5" t="inlineStr">
        <is>
          <t>玉米</t>
        </is>
      </c>
      <c r="B26" s="5" t="inlineStr">
        <is>
          <t>蔬菜类</t>
        </is>
      </c>
      <c r="C26" s="7" t="n">
        <v>435</v>
      </c>
      <c r="D26" s="7" t="n">
        <v>104</v>
      </c>
      <c r="E26" s="7" t="n">
        <v>200</v>
      </c>
      <c r="F26" s="7">
        <f>ROUND(C26*E26/100,0)</f>
        <v/>
      </c>
      <c r="G26" s="7">
        <f>ROUND(D26*E26/100,0)</f>
        <v/>
      </c>
      <c r="H26" s="5" t="inlineStr">
        <is>
          <t>碳水化合物(20g)、膳食纤维(2.9g)</t>
        </is>
      </c>
      <c r="I26" s="5" t="inlineStr">
        <is>
          <t>玉米黄素、维生素B1</t>
        </is>
      </c>
      <c r="J26" s="5" t="inlineStr">
        <is>
          <t>整棒约200g，GI中等</t>
        </is>
      </c>
    </row>
    <row r="27">
      <c r="A27" s="5" t="inlineStr">
        <is>
          <t>豌豆（鲜）</t>
        </is>
      </c>
      <c r="B27" s="5" t="inlineStr">
        <is>
          <t>蔬菜类</t>
        </is>
      </c>
      <c r="C27" s="7" t="n">
        <v>339</v>
      </c>
      <c r="D27" s="7" t="n">
        <v>81</v>
      </c>
      <c r="E27" s="7" t="n">
        <v>100</v>
      </c>
      <c r="F27" s="7">
        <f>ROUND(C27*E27/100,0)</f>
        <v/>
      </c>
      <c r="G27" s="7">
        <f>ROUND(D27*E27/100,0)</f>
        <v/>
      </c>
      <c r="H27" s="5" t="inlineStr">
        <is>
          <t>蛋白质(5g)、碳水化合物(14g)</t>
        </is>
      </c>
      <c r="I27" s="5" t="inlineStr">
        <is>
          <t>膳食纤维(5g)、维生素C</t>
        </is>
      </c>
      <c r="J27" s="5" t="inlineStr">
        <is>
          <t>蔬菜中蛋白质较高</t>
        </is>
      </c>
    </row>
    <row r="28">
      <c r="A28" s="5" t="inlineStr">
        <is>
          <t>毛豆（鲜）</t>
        </is>
      </c>
      <c r="B28" s="5" t="inlineStr">
        <is>
          <t>蔬菜类</t>
        </is>
      </c>
      <c r="C28" s="7" t="n">
        <v>502</v>
      </c>
      <c r="D28" s="7" t="n">
        <v>120</v>
      </c>
      <c r="E28" s="7" t="n">
        <v>100</v>
      </c>
      <c r="F28" s="7">
        <f>ROUND(C28*E28/100,0)</f>
        <v/>
      </c>
      <c r="G28" s="7">
        <f>ROUND(D28*E28/100,0)</f>
        <v/>
      </c>
      <c r="H28" s="5" t="inlineStr">
        <is>
          <t>蛋白质(11g)、大豆异黄酮</t>
        </is>
      </c>
      <c r="I28" s="5" t="inlineStr">
        <is>
          <t>膳食纤维(4g)、维生素C</t>
        </is>
      </c>
      <c r="J28" s="5" t="inlineStr">
        <is>
          <t>优质植物蛋白，钙铁丰富</t>
        </is>
      </c>
    </row>
    <row r="29">
      <c r="A29" s="5" t="inlineStr">
        <is>
          <t>四季豆</t>
        </is>
      </c>
      <c r="B29" s="5" t="inlineStr">
        <is>
          <t>蔬菜类</t>
        </is>
      </c>
      <c r="C29" s="7" t="n">
        <v>126</v>
      </c>
      <c r="D29" s="7" t="n">
        <v>30</v>
      </c>
      <c r="E29" s="7" t="n">
        <v>150</v>
      </c>
      <c r="F29" s="7">
        <f>ROUND(C29*E29/100,0)</f>
        <v/>
      </c>
      <c r="G29" s="7">
        <f>ROUND(D29*E29/100,0)</f>
        <v/>
      </c>
      <c r="H29" s="5" t="inlineStr">
        <is>
          <t>维生素C(19mg)、膳食纤维(2.7g)</t>
        </is>
      </c>
      <c r="I29" s="5" t="inlineStr">
        <is>
          <t>叶酸、钾</t>
        </is>
      </c>
      <c r="J29" s="5" t="inlineStr">
        <is>
          <t>必须煮熟，含皂苷生食有毒</t>
        </is>
      </c>
    </row>
    <row r="30">
      <c r="A30" s="5" t="inlineStr">
        <is>
          <t>西葫芦</t>
        </is>
      </c>
      <c r="B30" s="5" t="inlineStr">
        <is>
          <t>蔬菜类</t>
        </is>
      </c>
      <c r="C30" s="7" t="n">
        <v>63</v>
      </c>
      <c r="D30" s="7" t="n">
        <v>15</v>
      </c>
      <c r="E30" s="7" t="n">
        <v>200</v>
      </c>
      <c r="F30" s="7">
        <f>ROUND(C30*E30/100,0)</f>
        <v/>
      </c>
      <c r="G30" s="7">
        <f>ROUND(D30*E30/100,0)</f>
        <v/>
      </c>
      <c r="H30" s="5" t="inlineStr">
        <is>
          <t>维生素C(17mg)、叶酸</t>
        </is>
      </c>
      <c r="I30" s="5" t="inlineStr">
        <is>
          <t>钾、水分94%</t>
        </is>
      </c>
      <c r="J30" s="5" t="inlineStr">
        <is>
          <t>低热量，适合减脂</t>
        </is>
      </c>
    </row>
    <row r="31">
      <c r="A31" s="5" t="inlineStr">
        <is>
          <t>冬瓜</t>
        </is>
      </c>
      <c r="B31" s="5" t="inlineStr">
        <is>
          <t>蔬菜类</t>
        </is>
      </c>
      <c r="C31" s="7" t="n">
        <v>46</v>
      </c>
      <c r="D31" s="7" t="n">
        <v>11</v>
      </c>
      <c r="E31" s="7" t="n">
        <v>200</v>
      </c>
      <c r="F31" s="7">
        <f>ROUND(C31*E31/100,0)</f>
        <v/>
      </c>
      <c r="G31" s="7">
        <f>ROUND(D31*E31/100,0)</f>
        <v/>
      </c>
      <c r="H31" s="5" t="inlineStr">
        <is>
          <t>维生素C(18mg)、钾</t>
        </is>
      </c>
      <c r="I31" s="5" t="inlineStr">
        <is>
          <t>水分97%、膳食纤维(0.7g)</t>
        </is>
      </c>
      <c r="J31" s="5" t="inlineStr">
        <is>
          <t>热量极低，利尿消肿</t>
        </is>
      </c>
    </row>
    <row r="32">
      <c r="A32" s="5" t="inlineStr">
        <is>
          <t>苦瓜</t>
        </is>
      </c>
      <c r="B32" s="5" t="inlineStr">
        <is>
          <t>蔬菜类</t>
        </is>
      </c>
      <c r="C32" s="7" t="n">
        <v>84</v>
      </c>
      <c r="D32" s="7" t="n">
        <v>20</v>
      </c>
      <c r="E32" s="7" t="n">
        <v>150</v>
      </c>
      <c r="F32" s="7">
        <f>ROUND(C32*E32/100,0)</f>
        <v/>
      </c>
      <c r="G32" s="7">
        <f>ROUND(D32*E32/100,0)</f>
        <v/>
      </c>
      <c r="H32" s="5" t="inlineStr">
        <is>
          <t>维生素C(极高,56mg)、苦瓜素</t>
        </is>
      </c>
      <c r="I32" s="5" t="inlineStr">
        <is>
          <t>钾、叶酸</t>
        </is>
      </c>
      <c r="J32" s="5" t="inlineStr">
        <is>
          <t>苦瓜素辅助降血糖</t>
        </is>
      </c>
    </row>
    <row r="33">
      <c r="A33" s="5" t="inlineStr">
        <is>
          <t>丝瓜</t>
        </is>
      </c>
      <c r="B33" s="5" t="inlineStr">
        <is>
          <t>蔬菜类</t>
        </is>
      </c>
      <c r="C33" s="7" t="n">
        <v>84</v>
      </c>
      <c r="D33" s="7" t="n">
        <v>20</v>
      </c>
      <c r="E33" s="7" t="n">
        <v>200</v>
      </c>
      <c r="F33" s="7">
        <f>ROUND(C33*E33/100,0)</f>
        <v/>
      </c>
      <c r="G33" s="7">
        <f>ROUND(D33*E33/100,0)</f>
        <v/>
      </c>
      <c r="H33" s="5" t="inlineStr">
        <is>
          <t>维生素C(5mg)、皂苷类</t>
        </is>
      </c>
      <c r="I33" s="5" t="inlineStr">
        <is>
          <t>钾、叶酸</t>
        </is>
      </c>
      <c r="J33" s="5" t="inlineStr">
        <is>
          <t>低热量，清热解毒</t>
        </is>
      </c>
    </row>
    <row r="34">
      <c r="A34" s="5" t="inlineStr">
        <is>
          <t>芹菜</t>
        </is>
      </c>
      <c r="B34" s="5" t="inlineStr">
        <is>
          <t>蔬菜类</t>
        </is>
      </c>
      <c r="C34" s="7" t="n">
        <v>63</v>
      </c>
      <c r="D34" s="7" t="n">
        <v>15</v>
      </c>
      <c r="E34" s="7" t="n">
        <v>150</v>
      </c>
      <c r="F34" s="7">
        <f>ROUND(C34*E34/100,0)</f>
        <v/>
      </c>
      <c r="G34" s="7">
        <f>ROUND(D34*E34/100,0)</f>
        <v/>
      </c>
      <c r="H34" s="5" t="inlineStr">
        <is>
          <t>膳食纤维(1.4g)、维生素K</t>
        </is>
      </c>
      <c r="I34" s="5" t="inlineStr">
        <is>
          <t>钾、叶酸</t>
        </is>
      </c>
      <c r="J34" s="5" t="inlineStr">
        <is>
          <t>含芹菜素，利尿降压</t>
        </is>
      </c>
    </row>
    <row r="35">
      <c r="A35" s="5" t="inlineStr">
        <is>
          <t>韭黄</t>
        </is>
      </c>
      <c r="B35" s="5" t="inlineStr">
        <is>
          <t>蔬菜类</t>
        </is>
      </c>
      <c r="C35" s="7" t="n">
        <v>92</v>
      </c>
      <c r="D35" s="7" t="n">
        <v>22</v>
      </c>
      <c r="E35" s="7" t="n">
        <v>100</v>
      </c>
      <c r="F35" s="7">
        <f>ROUND(C35*E35/100,0)</f>
        <v/>
      </c>
      <c r="G35" s="7">
        <f>ROUND(D35*E35/100,0)</f>
        <v/>
      </c>
      <c r="H35" s="5" t="inlineStr">
        <is>
          <t>维生素C(8mg)、硫化物</t>
        </is>
      </c>
      <c r="I35" s="5" t="inlineStr">
        <is>
          <t>钾、少量铁</t>
        </is>
      </c>
      <c r="J35" s="5" t="inlineStr">
        <is>
          <t>韭菜遮光培育，风味温和</t>
        </is>
      </c>
    </row>
    <row r="36">
      <c r="A36" s="5" t="inlineStr">
        <is>
          <t>蒜薹</t>
        </is>
      </c>
      <c r="B36" s="5" t="inlineStr">
        <is>
          <t>蔬菜类</t>
        </is>
      </c>
      <c r="C36" s="7" t="n">
        <v>197</v>
      </c>
      <c r="D36" s="7" t="n">
        <v>47</v>
      </c>
      <c r="E36" s="7" t="n">
        <v>100</v>
      </c>
      <c r="F36" s="7">
        <f>ROUND(C36*E36/100,0)</f>
        <v/>
      </c>
      <c r="G36" s="7">
        <f>ROUND(D36*E36/100,0)</f>
        <v/>
      </c>
      <c r="H36" s="5" t="inlineStr">
        <is>
          <t>维生素C(35mg)、大蒜素</t>
        </is>
      </c>
      <c r="I36" s="5" t="inlineStr">
        <is>
          <t>膳食纤维(2g)、钾</t>
        </is>
      </c>
      <c r="J36" s="5" t="inlineStr">
        <is>
          <t>含大蒜素，抗菌消炎</t>
        </is>
      </c>
    </row>
    <row r="37">
      <c r="A37" s="5" t="inlineStr">
        <is>
          <t>洋葱</t>
        </is>
      </c>
      <c r="B37" s="5" t="inlineStr">
        <is>
          <t>蔬菜类</t>
        </is>
      </c>
      <c r="C37" s="7" t="n">
        <v>163</v>
      </c>
      <c r="D37" s="7" t="n">
        <v>39</v>
      </c>
      <c r="E37" s="7" t="n">
        <v>150</v>
      </c>
      <c r="F37" s="7">
        <f>ROUND(C37*E37/100,0)</f>
        <v/>
      </c>
      <c r="G37" s="7">
        <f>ROUND(D37*E37/100,0)</f>
        <v/>
      </c>
      <c r="H37" s="5" t="inlineStr">
        <is>
          <t>槲皮素(高)、维生素C(7mg)</t>
        </is>
      </c>
      <c r="I37" s="5" t="inlineStr">
        <is>
          <t>铬、钾</t>
        </is>
      </c>
      <c r="J37" s="5" t="inlineStr">
        <is>
          <t>槲皮素抗氧化，辅助降血糖</t>
        </is>
      </c>
    </row>
    <row r="38">
      <c r="A38" s="5" t="inlineStr">
        <is>
          <t>大蒜</t>
        </is>
      </c>
      <c r="B38" s="5" t="inlineStr">
        <is>
          <t>蔬菜类</t>
        </is>
      </c>
      <c r="C38" s="7" t="n">
        <v>519</v>
      </c>
      <c r="D38" s="7" t="n">
        <v>124</v>
      </c>
      <c r="E38" s="7" t="n">
        <v>10</v>
      </c>
      <c r="F38" s="7">
        <f>ROUND(C38*E38/100,0)</f>
        <v/>
      </c>
      <c r="G38" s="7">
        <f>ROUND(D38*E38/100,0)</f>
        <v/>
      </c>
      <c r="H38" s="5" t="inlineStr">
        <is>
          <t>大蒜素(高)、碳水化合物(28g)</t>
        </is>
      </c>
      <c r="I38" s="5" t="inlineStr">
        <is>
          <t>维生素B6、锰</t>
        </is>
      </c>
      <c r="J38" s="5" t="inlineStr">
        <is>
          <t>调味为主，每次用量少</t>
        </is>
      </c>
    </row>
    <row r="39">
      <c r="A39" s="5" t="inlineStr">
        <is>
          <t>生姜</t>
        </is>
      </c>
      <c r="B39" s="5" t="inlineStr">
        <is>
          <t>蔬菜类</t>
        </is>
      </c>
      <c r="C39" s="7" t="n">
        <v>142</v>
      </c>
      <c r="D39" s="7" t="n">
        <v>34</v>
      </c>
      <c r="E39" s="7" t="n">
        <v>10</v>
      </c>
      <c r="F39" s="7">
        <f>ROUND(C39*E39/100,0)</f>
        <v/>
      </c>
      <c r="G39" s="7">
        <f>ROUND(D39*E39/100,0)</f>
        <v/>
      </c>
      <c r="H39" s="5" t="inlineStr">
        <is>
          <t>姜辣素、姜烯酚</t>
        </is>
      </c>
      <c r="I39" s="5" t="inlineStr">
        <is>
          <t>维生素C、锰</t>
        </is>
      </c>
      <c r="J39" s="5" t="inlineStr">
        <is>
          <t>调味食材，用量少</t>
        </is>
      </c>
    </row>
    <row r="40">
      <c r="A40" s="5" t="inlineStr">
        <is>
          <t>香葱/小葱</t>
        </is>
      </c>
      <c r="B40" s="5" t="inlineStr">
        <is>
          <t>蔬菜类</t>
        </is>
      </c>
      <c r="C40" s="7" t="n">
        <v>126</v>
      </c>
      <c r="D40" s="7" t="n">
        <v>30</v>
      </c>
      <c r="E40" s="7" t="n">
        <v>20</v>
      </c>
      <c r="F40" s="7">
        <f>ROUND(C40*E40/100,0)</f>
        <v/>
      </c>
      <c r="G40" s="7">
        <f>ROUND(D40*E40/100,0)</f>
        <v/>
      </c>
      <c r="H40" s="5" t="inlineStr">
        <is>
          <t>维生素K、维生素C</t>
        </is>
      </c>
      <c r="I40" s="5" t="inlineStr">
        <is>
          <t>叶绿素、硫化物</t>
        </is>
      </c>
      <c r="J40" s="5" t="inlineStr">
        <is>
          <t>调味为主，增香提鲜</t>
        </is>
      </c>
    </row>
    <row r="41">
      <c r="A41" s="58" t="inlineStr">
        <is>
          <t>香菇（鲜）</t>
        </is>
      </c>
      <c r="B41" s="58" t="inlineStr">
        <is>
          <t>菌藻类</t>
        </is>
      </c>
      <c r="C41" s="59" t="n">
        <v>113</v>
      </c>
      <c r="D41" s="59" t="n">
        <v>27</v>
      </c>
      <c r="E41" s="59" t="n">
        <v>100</v>
      </c>
      <c r="F41" s="59">
        <f>ROUND(C41*E41/100,0)</f>
        <v/>
      </c>
      <c r="G41" s="59">
        <f>ROUND(D41*E41/100,0)</f>
        <v/>
      </c>
      <c r="H41" s="58" t="inlineStr">
        <is>
          <t>多糖类(香菇多糖)、维生素D</t>
        </is>
      </c>
      <c r="I41" s="58" t="inlineStr">
        <is>
          <t>蛋白质(3g)、膳食纤维(2.5g)</t>
        </is>
      </c>
      <c r="J41" s="58" t="inlineStr">
        <is>
          <t>提升免疫，维生素D丰富</t>
        </is>
      </c>
    </row>
    <row r="42">
      <c r="A42" s="58" t="inlineStr">
        <is>
          <t>香菇（干）</t>
        </is>
      </c>
      <c r="B42" s="58" t="inlineStr">
        <is>
          <t>菌藻类</t>
        </is>
      </c>
      <c r="C42" s="59" t="n">
        <v>841</v>
      </c>
      <c r="D42" s="59" t="n">
        <v>201</v>
      </c>
      <c r="E42" s="59" t="n">
        <v>15</v>
      </c>
      <c r="F42" s="59">
        <f>ROUND(C42*E42/100,0)</f>
        <v/>
      </c>
      <c r="G42" s="59">
        <f>ROUND(D42*E42/100,0)</f>
        <v/>
      </c>
      <c r="H42" s="58" t="inlineStr">
        <is>
          <t>多糖类、维生素D(干品更高)</t>
        </is>
      </c>
      <c r="I42" s="58" t="inlineStr">
        <is>
          <t>蛋白质(12g)、膳食纤维</t>
        </is>
      </c>
      <c r="J42" s="58" t="inlineStr">
        <is>
          <t>干品营养更浓缩，泡发后约5-6倍</t>
        </is>
      </c>
    </row>
    <row r="43">
      <c r="A43" s="58" t="inlineStr">
        <is>
          <t>平菇</t>
        </is>
      </c>
      <c r="B43" s="58" t="inlineStr">
        <is>
          <t>菌藻类</t>
        </is>
      </c>
      <c r="C43" s="59" t="n">
        <v>84</v>
      </c>
      <c r="D43" s="59" t="n">
        <v>20</v>
      </c>
      <c r="E43" s="59" t="n">
        <v>100</v>
      </c>
      <c r="F43" s="59">
        <f>ROUND(C43*E43/100,0)</f>
        <v/>
      </c>
      <c r="G43" s="59">
        <f>ROUND(D43*E43/100,0)</f>
        <v/>
      </c>
      <c r="H43" s="58" t="inlineStr">
        <is>
          <t>多糖类、蛋白质(2.8g)</t>
        </is>
      </c>
      <c r="I43" s="58" t="inlineStr">
        <is>
          <t>膳食纤维(2.3g)、钾</t>
        </is>
      </c>
      <c r="J43" s="58" t="inlineStr">
        <is>
          <t>价格亲民，营养均衡</t>
        </is>
      </c>
    </row>
    <row r="44">
      <c r="A44" s="58" t="inlineStr">
        <is>
          <t>金针菇</t>
        </is>
      </c>
      <c r="B44" s="58" t="inlineStr">
        <is>
          <t>菌藻类</t>
        </is>
      </c>
      <c r="C44" s="59" t="n">
        <v>109</v>
      </c>
      <c r="D44" s="59" t="n">
        <v>26</v>
      </c>
      <c r="E44" s="59" t="n">
        <v>100</v>
      </c>
      <c r="F44" s="59">
        <f>ROUND(C44*E44/100,0)</f>
        <v/>
      </c>
      <c r="G44" s="59">
        <f>ROUND(D44*E44/100,0)</f>
        <v/>
      </c>
      <c r="H44" s="58" t="inlineStr">
        <is>
          <t>膳食纤维(2.7g)、锌</t>
        </is>
      </c>
      <c r="I44" s="58" t="inlineStr">
        <is>
          <t>蛋白质(2.4g)、多糖</t>
        </is>
      </c>
      <c r="J44" s="58" t="inlineStr">
        <is>
          <t>难消化，注意细嚼</t>
        </is>
      </c>
    </row>
    <row r="45">
      <c r="A45" s="58" t="inlineStr">
        <is>
          <t>木耳（干）</t>
        </is>
      </c>
      <c r="B45" s="58" t="inlineStr">
        <is>
          <t>菌藻类</t>
        </is>
      </c>
      <c r="C45" s="59" t="n">
        <v>841</v>
      </c>
      <c r="D45" s="59" t="n">
        <v>201</v>
      </c>
      <c r="E45" s="59" t="n">
        <v>15</v>
      </c>
      <c r="F45" s="59">
        <f>ROUND(C45*E45/100,0)</f>
        <v/>
      </c>
      <c r="G45" s="59">
        <f>ROUND(D45*E45/100,0)</f>
        <v/>
      </c>
      <c r="H45" s="58" t="inlineStr">
        <is>
          <t>铁(极高,97mg干品)、膳食纤维</t>
        </is>
      </c>
      <c r="I45" s="58" t="inlineStr">
        <is>
          <t>多糖类(木耳多糖)、钙</t>
        </is>
      </c>
      <c r="J45" s="58" t="inlineStr">
        <is>
          <t>泡发后约8-10倍，铁吸收率低于动物铁</t>
        </is>
      </c>
    </row>
    <row r="46">
      <c r="A46" s="58" t="inlineStr">
        <is>
          <t>银耳（干）</t>
        </is>
      </c>
      <c r="B46" s="58" t="inlineStr">
        <is>
          <t>菌藻类</t>
        </is>
      </c>
      <c r="C46" s="59" t="n">
        <v>841</v>
      </c>
      <c r="D46" s="59" t="n">
        <v>201</v>
      </c>
      <c r="E46" s="59" t="n">
        <v>15</v>
      </c>
      <c r="F46" s="59">
        <f>ROUND(C46*E46/100,0)</f>
        <v/>
      </c>
      <c r="G46" s="59">
        <f>ROUND(D46*E46/100,0)</f>
        <v/>
      </c>
      <c r="H46" s="58" t="inlineStr">
        <is>
          <t>银耳多糖(高)、膳食纤维</t>
        </is>
      </c>
      <c r="I46" s="58" t="inlineStr">
        <is>
          <t>维生素D、钾</t>
        </is>
      </c>
      <c r="J46" s="58" t="inlineStr">
        <is>
          <t>滋阴润燥，多糖美容</t>
        </is>
      </c>
    </row>
    <row r="47">
      <c r="A47" s="58" t="inlineStr">
        <is>
          <t>海带（鲜）</t>
        </is>
      </c>
      <c r="B47" s="58" t="inlineStr">
        <is>
          <t>菌藻类</t>
        </is>
      </c>
      <c r="C47" s="59" t="n">
        <v>46</v>
      </c>
      <c r="D47" s="59" t="n">
        <v>11</v>
      </c>
      <c r="E47" s="59" t="n">
        <v>100</v>
      </c>
      <c r="F47" s="59">
        <f>ROUND(C47*E47/100,0)</f>
        <v/>
      </c>
      <c r="G47" s="59">
        <f>ROUND(D47*E47/100,0)</f>
        <v/>
      </c>
      <c r="H47" s="58" t="inlineStr">
        <is>
          <t>碘(极高,113μg)、褐藻多糖</t>
        </is>
      </c>
      <c r="I47" s="58" t="inlineStr">
        <is>
          <t>钙、钾、铁</t>
        </is>
      </c>
      <c r="J47" s="58" t="inlineStr">
        <is>
          <t>甲亢患者慎食，碘含量极高</t>
        </is>
      </c>
    </row>
    <row r="48">
      <c r="A48" s="58" t="inlineStr">
        <is>
          <t>紫菜（干）</t>
        </is>
      </c>
      <c r="B48" s="58" t="inlineStr">
        <is>
          <t>菌藻类</t>
        </is>
      </c>
      <c r="C48" s="59" t="n">
        <v>841</v>
      </c>
      <c r="D48" s="59" t="n">
        <v>201</v>
      </c>
      <c r="E48" s="59" t="n">
        <v>10</v>
      </c>
      <c r="F48" s="59">
        <f>ROUND(C48*E48/100,0)</f>
        <v/>
      </c>
      <c r="G48" s="59">
        <f>ROUND(D48*E48/100,0)</f>
        <v/>
      </c>
      <c r="H48" s="58" t="inlineStr">
        <is>
          <t>碘(极高)、蛋白质(25g)、维生素B12</t>
        </is>
      </c>
      <c r="I48" s="58" t="inlineStr">
        <is>
          <t>铁、锌、DHA</t>
        </is>
      </c>
      <c r="J48" s="58" t="inlineStr">
        <is>
          <t>素食者B12重要来源</t>
        </is>
      </c>
    </row>
    <row r="49">
      <c r="A49" s="58" t="inlineStr">
        <is>
          <t>裙带菜（鲜）</t>
        </is>
      </c>
      <c r="B49" s="58" t="inlineStr">
        <is>
          <t>菌藻类</t>
        </is>
      </c>
      <c r="C49" s="59" t="n">
        <v>55</v>
      </c>
      <c r="D49" s="59" t="n">
        <v>13</v>
      </c>
      <c r="E49" s="59" t="n">
        <v>100</v>
      </c>
      <c r="F49" s="59">
        <f>ROUND(C49*E49/100,0)</f>
        <v/>
      </c>
      <c r="G49" s="59">
        <f>ROUND(D49*E49/100,0)</f>
        <v/>
      </c>
      <c r="H49" s="58" t="inlineStr">
        <is>
          <t>碘、褐藻多糖</t>
        </is>
      </c>
      <c r="I49" s="58" t="inlineStr">
        <is>
          <t>钾、叶酸</t>
        </is>
      </c>
      <c r="J49" s="58" t="inlineStr">
        <is>
          <t>常用于味噌汤和凉拌</t>
        </is>
      </c>
    </row>
    <row r="50">
      <c r="A50" s="58" t="inlineStr">
        <is>
          <t>茶树菇</t>
        </is>
      </c>
      <c r="B50" s="58" t="inlineStr">
        <is>
          <t>菌藻类</t>
        </is>
      </c>
      <c r="C50" s="59" t="n">
        <v>109</v>
      </c>
      <c r="D50" s="59" t="n">
        <v>26</v>
      </c>
      <c r="E50" s="59" t="n">
        <v>100</v>
      </c>
      <c r="F50" s="59">
        <f>ROUND(C50*E50/100,0)</f>
        <v/>
      </c>
      <c r="G50" s="59">
        <f>ROUND(D50*E50/100,0)</f>
        <v/>
      </c>
      <c r="H50" s="58" t="inlineStr">
        <is>
          <t>多糖类、蛋白质(3g)</t>
        </is>
      </c>
      <c r="I50" s="58" t="inlineStr">
        <is>
          <t>膳食纤维、钾</t>
        </is>
      </c>
      <c r="J50" s="58" t="inlineStr">
        <is>
          <t>口感脆嫩，低热量</t>
        </is>
      </c>
    </row>
    <row r="51">
      <c r="A51" s="58" t="inlineStr">
        <is>
          <t>杏鲍菇</t>
        </is>
      </c>
      <c r="B51" s="58" t="inlineStr">
        <is>
          <t>菌藻类</t>
        </is>
      </c>
      <c r="C51" s="59" t="n">
        <v>155</v>
      </c>
      <c r="D51" s="59" t="n">
        <v>37</v>
      </c>
      <c r="E51" s="59" t="n">
        <v>100</v>
      </c>
      <c r="F51" s="59">
        <f>ROUND(C51*E51/100,0)</f>
        <v/>
      </c>
      <c r="G51" s="59">
        <f>ROUND(D51*E51/100,0)</f>
        <v/>
      </c>
      <c r="H51" s="58" t="inlineStr">
        <is>
          <t>蛋白质(3.7g)、膳食纤维(2.2g)</t>
        </is>
      </c>
      <c r="I51" s="58" t="inlineStr">
        <is>
          <t>多糖、钾、维生素B3</t>
        </is>
      </c>
      <c r="J51" s="58" t="inlineStr">
        <is>
          <t>口感近似鲍鱼，常见食用菌</t>
        </is>
      </c>
    </row>
    <row r="52">
      <c r="A52" s="58" t="inlineStr">
        <is>
          <t>猴头菇</t>
        </is>
      </c>
      <c r="B52" s="58" t="inlineStr">
        <is>
          <t>菌藻类</t>
        </is>
      </c>
      <c r="C52" s="59" t="n">
        <v>130</v>
      </c>
      <c r="D52" s="59" t="n">
        <v>31</v>
      </c>
      <c r="E52" s="59" t="n">
        <v>100</v>
      </c>
      <c r="F52" s="59">
        <f>ROUND(C52*E52/100,0)</f>
        <v/>
      </c>
      <c r="G52" s="59">
        <f>ROUND(D52*E52/100,0)</f>
        <v/>
      </c>
      <c r="H52" s="58" t="inlineStr">
        <is>
          <t>猴头菌素(护胃)、蛋白质(2.5g)</t>
        </is>
      </c>
      <c r="I52" s="58" t="inlineStr">
        <is>
          <t>多糖、膳食纤维</t>
        </is>
      </c>
      <c r="J52" s="58" t="inlineStr">
        <is>
          <t>养胃，有助消化道健康</t>
        </is>
      </c>
    </row>
    <row r="53">
      <c r="A53" s="60" t="inlineStr">
        <is>
          <t>苹果</t>
        </is>
      </c>
      <c r="B53" s="60" t="inlineStr">
        <is>
          <t>水果类</t>
        </is>
      </c>
      <c r="C53" s="61" t="n">
        <v>218</v>
      </c>
      <c r="D53" s="61" t="n">
        <v>52</v>
      </c>
      <c r="E53" s="61" t="n">
        <v>200</v>
      </c>
      <c r="F53" s="61">
        <f>ROUND(C53*E53/100,0)</f>
        <v/>
      </c>
      <c r="G53" s="61">
        <f>ROUND(D53*E53/100,0)</f>
        <v/>
      </c>
      <c r="H53" s="60" t="inlineStr">
        <is>
          <t>膳食纤维(2.4g)、维生素C(4.6mg)</t>
        </is>
      </c>
      <c r="I53" s="60" t="inlineStr">
        <is>
          <t>槲皮素、钾</t>
        </is>
      </c>
      <c r="J53" s="60" t="inlineStr">
        <is>
          <t>带皮更营养，GI约36</t>
        </is>
      </c>
    </row>
    <row r="54">
      <c r="A54" s="60" t="inlineStr">
        <is>
          <t>香蕉</t>
        </is>
      </c>
      <c r="B54" s="60" t="inlineStr">
        <is>
          <t>水果类</t>
        </is>
      </c>
      <c r="C54" s="61" t="n">
        <v>372</v>
      </c>
      <c r="D54" s="61" t="n">
        <v>89</v>
      </c>
      <c r="E54" s="61" t="n">
        <v>120</v>
      </c>
      <c r="F54" s="61">
        <f>ROUND(C54*E54/100,0)</f>
        <v/>
      </c>
      <c r="G54" s="61">
        <f>ROUND(D54*E54/100,0)</f>
        <v/>
      </c>
      <c r="H54" s="60" t="inlineStr">
        <is>
          <t>钾(358mg,高)、维生素B6</t>
        </is>
      </c>
      <c r="I54" s="60" t="inlineStr">
        <is>
          <t>碳水化合物(23g)、膳食纤维</t>
        </is>
      </c>
      <c r="J54" s="60" t="inlineStr">
        <is>
          <t>高钾，运动后补充电解质</t>
        </is>
      </c>
    </row>
    <row r="55">
      <c r="A55" s="60" t="inlineStr">
        <is>
          <t>橙子</t>
        </is>
      </c>
      <c r="B55" s="60" t="inlineStr">
        <is>
          <t>水果类</t>
        </is>
      </c>
      <c r="C55" s="61" t="n">
        <v>197</v>
      </c>
      <c r="D55" s="61" t="n">
        <v>47</v>
      </c>
      <c r="E55" s="61" t="n">
        <v>200</v>
      </c>
      <c r="F55" s="61">
        <f>ROUND(C55*E55/100,0)</f>
        <v/>
      </c>
      <c r="G55" s="61">
        <f>ROUND(D55*E55/100,0)</f>
        <v/>
      </c>
      <c r="H55" s="60" t="inlineStr">
        <is>
          <t>维生素C(53mg,高)、橙皮苷</t>
        </is>
      </c>
      <c r="I55" s="60" t="inlineStr">
        <is>
          <t>叶酸、钾</t>
        </is>
      </c>
      <c r="J55" s="60" t="inlineStr">
        <is>
          <t>一个中等橙子≈200g</t>
        </is>
      </c>
    </row>
    <row r="56">
      <c r="A56" s="60" t="inlineStr">
        <is>
          <t>草莓</t>
        </is>
      </c>
      <c r="B56" s="60" t="inlineStr">
        <is>
          <t>水果类</t>
        </is>
      </c>
      <c r="C56" s="61" t="n">
        <v>134</v>
      </c>
      <c r="D56" s="61" t="n">
        <v>32</v>
      </c>
      <c r="E56" s="61" t="n">
        <v>200</v>
      </c>
      <c r="F56" s="61">
        <f>ROUND(C56*E56/100,0)</f>
        <v/>
      </c>
      <c r="G56" s="61">
        <f>ROUND(D56*E56/100,0)</f>
        <v/>
      </c>
      <c r="H56" s="60" t="inlineStr">
        <is>
          <t>维生素C(极高,58mg)、花青素</t>
        </is>
      </c>
      <c r="I56" s="60" t="inlineStr">
        <is>
          <t>叶酸、锰</t>
        </is>
      </c>
      <c r="J56" s="60" t="inlineStr">
        <is>
          <t>维生素C含量超过橙子</t>
        </is>
      </c>
    </row>
    <row r="57">
      <c r="A57" s="60" t="inlineStr">
        <is>
          <t>葡萄</t>
        </is>
      </c>
      <c r="B57" s="60" t="inlineStr">
        <is>
          <t>水果类</t>
        </is>
      </c>
      <c r="C57" s="61" t="n">
        <v>251</v>
      </c>
      <c r="D57" s="61" t="n">
        <v>60</v>
      </c>
      <c r="E57" s="61" t="n">
        <v>200</v>
      </c>
      <c r="F57" s="61">
        <f>ROUND(C57*E57/100,0)</f>
        <v/>
      </c>
      <c r="G57" s="61">
        <f>ROUND(D57*E57/100,0)</f>
        <v/>
      </c>
      <c r="H57" s="60" t="inlineStr">
        <is>
          <t>白藜芦醇(紫葡萄)、维生素K</t>
        </is>
      </c>
      <c r="I57" s="60" t="inlineStr">
        <is>
          <t>碳水化合物(16g)、钾</t>
        </is>
      </c>
      <c r="J57" s="60" t="inlineStr">
        <is>
          <t>紫葡萄抗氧化强</t>
        </is>
      </c>
    </row>
    <row r="58">
      <c r="A58" s="60" t="inlineStr">
        <is>
          <t>西瓜</t>
        </is>
      </c>
      <c r="B58" s="60" t="inlineStr">
        <is>
          <t>水果类</t>
        </is>
      </c>
      <c r="C58" s="61" t="n">
        <v>126</v>
      </c>
      <c r="D58" s="61" t="n">
        <v>30</v>
      </c>
      <c r="E58" s="61" t="n">
        <v>300</v>
      </c>
      <c r="F58" s="61">
        <f>ROUND(C58*E58/100,0)</f>
        <v/>
      </c>
      <c r="G58" s="61">
        <f>ROUND(D58*E58/100,0)</f>
        <v/>
      </c>
      <c r="H58" s="60" t="inlineStr">
        <is>
          <t>番茄红素(高,4.5mg)、瓜氨酸</t>
        </is>
      </c>
      <c r="I58" s="60" t="inlineStr">
        <is>
          <t>维生素C、钾、水分91%</t>
        </is>
      </c>
      <c r="J58" s="60" t="inlineStr">
        <is>
          <t>GI高但GL低，水分多</t>
        </is>
      </c>
    </row>
    <row r="59">
      <c r="A59" s="60" t="inlineStr">
        <is>
          <t>哈密瓜</t>
        </is>
      </c>
      <c r="B59" s="60" t="inlineStr">
        <is>
          <t>水果类</t>
        </is>
      </c>
      <c r="C59" s="61" t="n">
        <v>146</v>
      </c>
      <c r="D59" s="61" t="n">
        <v>35</v>
      </c>
      <c r="E59" s="61" t="n">
        <v>300</v>
      </c>
      <c r="F59" s="61">
        <f>ROUND(C59*E59/100,0)</f>
        <v/>
      </c>
      <c r="G59" s="61">
        <f>ROUND(D59*E59/100,0)</f>
        <v/>
      </c>
      <c r="H59" s="60" t="inlineStr">
        <is>
          <t>β-胡萝卜素(高)、维生素C</t>
        </is>
      </c>
      <c r="I59" s="60" t="inlineStr">
        <is>
          <t>钾、叶酸</t>
        </is>
      </c>
      <c r="J59" s="60" t="inlineStr">
        <is>
          <t>夏季解暑，含糖量适中</t>
        </is>
      </c>
    </row>
    <row r="60">
      <c r="A60" s="60" t="inlineStr">
        <is>
          <t>芒果</t>
        </is>
      </c>
      <c r="B60" s="60" t="inlineStr">
        <is>
          <t>水果类</t>
        </is>
      </c>
      <c r="C60" s="61" t="n">
        <v>251</v>
      </c>
      <c r="D60" s="61" t="n">
        <v>60</v>
      </c>
      <c r="E60" s="61" t="n">
        <v>200</v>
      </c>
      <c r="F60" s="61">
        <f>ROUND(C60*E60/100,0)</f>
        <v/>
      </c>
      <c r="G60" s="61">
        <f>ROUND(D60*E60/100,0)</f>
        <v/>
      </c>
      <c r="H60" s="60" t="inlineStr">
        <is>
          <t>β-胡萝卜素(极高,1082μg)、维生素C</t>
        </is>
      </c>
      <c r="I60" s="60" t="inlineStr">
        <is>
          <t>叶酸、维生素B6</t>
        </is>
      </c>
      <c r="J60" s="60" t="inlineStr">
        <is>
          <t>过敏体质慎食</t>
        </is>
      </c>
    </row>
    <row r="61">
      <c r="A61" s="60" t="inlineStr">
        <is>
          <t>菠萝</t>
        </is>
      </c>
      <c r="B61" s="60" t="inlineStr">
        <is>
          <t>水果类</t>
        </is>
      </c>
      <c r="C61" s="61" t="n">
        <v>209</v>
      </c>
      <c r="D61" s="61" t="n">
        <v>50</v>
      </c>
      <c r="E61" s="61" t="n">
        <v>200</v>
      </c>
      <c r="F61" s="61">
        <f>ROUND(C61*E61/100,0)</f>
        <v/>
      </c>
      <c r="G61" s="61">
        <f>ROUND(D61*E61/100,0)</f>
        <v/>
      </c>
      <c r="H61" s="60" t="inlineStr">
        <is>
          <t>维生素C(47mg)、菠萝蛋白酶</t>
        </is>
      </c>
      <c r="I61" s="60" t="inlineStr">
        <is>
          <t>锰、维生素B1</t>
        </is>
      </c>
      <c r="J61" s="60" t="inlineStr">
        <is>
          <t>菠萝蛋白酶助消化，盐水浸泡减刺激</t>
        </is>
      </c>
    </row>
    <row r="62">
      <c r="A62" s="60" t="inlineStr">
        <is>
          <t>猕猴桃</t>
        </is>
      </c>
      <c r="B62" s="60" t="inlineStr">
        <is>
          <t>水果类</t>
        </is>
      </c>
      <c r="C62" s="61" t="n">
        <v>251</v>
      </c>
      <c r="D62" s="61" t="n">
        <v>60</v>
      </c>
      <c r="E62" s="61" t="n">
        <v>150</v>
      </c>
      <c r="F62" s="61">
        <f>ROUND(C62*E62/100,0)</f>
        <v/>
      </c>
      <c r="G62" s="61">
        <f>ROUND(D62*E62/100,0)</f>
        <v/>
      </c>
      <c r="H62" s="60" t="inlineStr">
        <is>
          <t>维生素C(极高,92mg)、叶酸</t>
        </is>
      </c>
      <c r="I62" s="60" t="inlineStr">
        <is>
          <t>维生素K、钾</t>
        </is>
      </c>
      <c r="J62" s="60" t="inlineStr">
        <is>
          <t>维生素C密度最高水果之一</t>
        </is>
      </c>
    </row>
    <row r="63">
      <c r="A63" s="60" t="inlineStr">
        <is>
          <t>蓝莓</t>
        </is>
      </c>
      <c r="B63" s="60" t="inlineStr">
        <is>
          <t>水果类</t>
        </is>
      </c>
      <c r="C63" s="61" t="n">
        <v>234</v>
      </c>
      <c r="D63" s="61" t="n">
        <v>57</v>
      </c>
      <c r="E63" s="61" t="n">
        <v>100</v>
      </c>
      <c r="F63" s="61">
        <f>ROUND(C63*E63/100,0)</f>
        <v/>
      </c>
      <c r="G63" s="61">
        <f>ROUND(D63*E63/100,0)</f>
        <v/>
      </c>
      <c r="H63" s="60" t="inlineStr">
        <is>
          <t>花青素(极高)、维生素C</t>
        </is>
      </c>
      <c r="I63" s="60" t="inlineStr">
        <is>
          <t>膳食纤维(2.4g)、维生素K</t>
        </is>
      </c>
      <c r="J63" s="60" t="inlineStr">
        <is>
          <t>抗氧化之王，护眼护脑</t>
        </is>
      </c>
    </row>
    <row r="64">
      <c r="A64" s="60" t="inlineStr">
        <is>
          <t>梨</t>
        </is>
      </c>
      <c r="B64" s="60" t="inlineStr">
        <is>
          <t>水果类</t>
        </is>
      </c>
      <c r="C64" s="61" t="n">
        <v>209</v>
      </c>
      <c r="D64" s="61" t="n">
        <v>50</v>
      </c>
      <c r="E64" s="61" t="n">
        <v>200</v>
      </c>
      <c r="F64" s="61">
        <f>ROUND(C64*E64/100,0)</f>
        <v/>
      </c>
      <c r="G64" s="61">
        <f>ROUND(D64*E64/100,0)</f>
        <v/>
      </c>
      <c r="H64" s="60" t="inlineStr">
        <is>
          <t>膳食纤维(3.1g)、维生素C</t>
        </is>
      </c>
      <c r="I64" s="60" t="inlineStr">
        <is>
          <t>钾、叶酸</t>
        </is>
      </c>
      <c r="J64" s="60" t="inlineStr">
        <is>
          <t>含石细胞，膳食纤维较丰富</t>
        </is>
      </c>
    </row>
    <row r="65">
      <c r="A65" s="60" t="inlineStr">
        <is>
          <t>荔枝</t>
        </is>
      </c>
      <c r="B65" s="60" t="inlineStr">
        <is>
          <t>水果类</t>
        </is>
      </c>
      <c r="C65" s="61" t="n">
        <v>276</v>
      </c>
      <c r="D65" s="61" t="n">
        <v>66</v>
      </c>
      <c r="E65" s="61" t="n">
        <v>100</v>
      </c>
      <c r="F65" s="61">
        <f>ROUND(C65*E65/100,0)</f>
        <v/>
      </c>
      <c r="G65" s="61">
        <f>ROUND(D65*E65/100,0)</f>
        <v/>
      </c>
      <c r="H65" s="60" t="inlineStr">
        <is>
          <t>维生素C(71mg,高)、碳水化合物(16g)</t>
        </is>
      </c>
      <c r="I65" s="60" t="inlineStr">
        <is>
          <t>铜、维生素B</t>
        </is>
      </c>
      <c r="J65" s="60" t="inlineStr">
        <is>
          <t>含糖高，一次不宜超过10颗</t>
        </is>
      </c>
    </row>
    <row r="66">
      <c r="A66" s="60" t="inlineStr">
        <is>
          <t>龙眼</t>
        </is>
      </c>
      <c r="B66" s="60" t="inlineStr">
        <is>
          <t>水果类</t>
        </is>
      </c>
      <c r="C66" s="61" t="n">
        <v>293</v>
      </c>
      <c r="D66" s="61" t="n">
        <v>70</v>
      </c>
      <c r="E66" s="61" t="n">
        <v>100</v>
      </c>
      <c r="F66" s="61">
        <f>ROUND(C66*E66/100,0)</f>
        <v/>
      </c>
      <c r="G66" s="61">
        <f>ROUND(D66*E66/100,0)</f>
        <v/>
      </c>
      <c r="H66" s="60" t="inlineStr">
        <is>
          <t>碳水化合物(16g)、铁</t>
        </is>
      </c>
      <c r="I66" s="60" t="inlineStr">
        <is>
          <t>维生素C、钾</t>
        </is>
      </c>
      <c r="J66" s="60" t="inlineStr">
        <is>
          <t>补血养心，含糖较高</t>
        </is>
      </c>
    </row>
    <row r="67">
      <c r="A67" s="60" t="inlineStr">
        <is>
          <t>樱桃</t>
        </is>
      </c>
      <c r="B67" s="60" t="inlineStr">
        <is>
          <t>水果类</t>
        </is>
      </c>
      <c r="C67" s="61" t="n">
        <v>251</v>
      </c>
      <c r="D67" s="61" t="n">
        <v>60</v>
      </c>
      <c r="E67" s="61" t="n">
        <v>100</v>
      </c>
      <c r="F67" s="61">
        <f>ROUND(C67*E67/100,0)</f>
        <v/>
      </c>
      <c r="G67" s="61">
        <f>ROUND(D67*E67/100,0)</f>
        <v/>
      </c>
      <c r="H67" s="60" t="inlineStr">
        <is>
          <t>花青素(高)、铁(0.4mg)</t>
        </is>
      </c>
      <c r="I67" s="60" t="inlineStr">
        <is>
          <t>维生素C、钾</t>
        </is>
      </c>
      <c r="J67" s="60" t="inlineStr">
        <is>
          <t>天然褪黑素含量较高</t>
        </is>
      </c>
    </row>
    <row r="68">
      <c r="A68" s="60" t="inlineStr">
        <is>
          <t>榴莲</t>
        </is>
      </c>
      <c r="B68" s="60" t="inlineStr">
        <is>
          <t>水果类</t>
        </is>
      </c>
      <c r="C68" s="61" t="n">
        <v>619</v>
      </c>
      <c r="D68" s="61" t="n">
        <v>148</v>
      </c>
      <c r="E68" s="61" t="n">
        <v>100</v>
      </c>
      <c r="F68" s="61">
        <f>ROUND(C68*E68/100,0)</f>
        <v/>
      </c>
      <c r="G68" s="61">
        <f>ROUND(D68*E68/100,0)</f>
        <v/>
      </c>
      <c r="H68" s="60" t="inlineStr">
        <is>
          <t>碳水化合物(27g)、脂肪(5g)</t>
        </is>
      </c>
      <c r="I68" s="60" t="inlineStr">
        <is>
          <t>钾(极高,436mg)、维生素C</t>
        </is>
      </c>
      <c r="J68" s="60" t="inlineStr">
        <is>
          <t>热量高，含硫化物，孕妇少食</t>
        </is>
      </c>
    </row>
    <row r="69">
      <c r="A69" s="60" t="inlineStr">
        <is>
          <t>椰子（果肉）</t>
        </is>
      </c>
      <c r="B69" s="60" t="inlineStr">
        <is>
          <t>水果类</t>
        </is>
      </c>
      <c r="C69" s="61" t="n">
        <v>1448</v>
      </c>
      <c r="D69" s="61" t="n">
        <v>346</v>
      </c>
      <c r="E69" s="61" t="n">
        <v>50</v>
      </c>
      <c r="F69" s="61">
        <f>ROUND(C69*E69/100,0)</f>
        <v/>
      </c>
      <c r="G69" s="61">
        <f>ROUND(D69*E69/100,0)</f>
        <v/>
      </c>
      <c r="H69" s="60" t="inlineStr">
        <is>
          <t>脂肪(33g)、中链脂肪酸</t>
        </is>
      </c>
      <c r="I69" s="60" t="inlineStr">
        <is>
          <t>碳水化合物(15g)、锰</t>
        </is>
      </c>
      <c r="J69" s="60" t="inlineStr">
        <is>
          <t>脂肪含量高，热量高</t>
        </is>
      </c>
    </row>
    <row r="70">
      <c r="A70" s="60" t="inlineStr">
        <is>
          <t>枸杞</t>
        </is>
      </c>
      <c r="B70" s="60" t="inlineStr">
        <is>
          <t>水果类</t>
        </is>
      </c>
      <c r="C70" s="61" t="n">
        <v>1130</v>
      </c>
      <c r="D70" s="61" t="n">
        <v>270</v>
      </c>
      <c r="E70" s="61" t="n">
        <v>15</v>
      </c>
      <c r="F70" s="61">
        <f>ROUND(C70*E70/100,0)</f>
        <v/>
      </c>
      <c r="G70" s="61">
        <f>ROUND(D70*E70/100,0)</f>
        <v/>
      </c>
      <c r="H70" s="60" t="inlineStr">
        <is>
          <t>玉米黄素(极高)、β-胡萝卜素</t>
        </is>
      </c>
      <c r="I70" s="60" t="inlineStr">
        <is>
          <t>多糖(枸杞多糖)、铁</t>
        </is>
      </c>
      <c r="J70" s="60" t="inlineStr">
        <is>
          <t>调味兼保健，每次少量</t>
        </is>
      </c>
    </row>
    <row r="71">
      <c r="A71" s="60" t="inlineStr">
        <is>
          <t>大枣（干）</t>
        </is>
      </c>
      <c r="B71" s="60" t="inlineStr">
        <is>
          <t>水果类</t>
        </is>
      </c>
      <c r="C71" s="61" t="n">
        <v>1088</v>
      </c>
      <c r="D71" s="61" t="n">
        <v>260</v>
      </c>
      <c r="E71" s="61" t="n">
        <v>30</v>
      </c>
      <c r="F71" s="61">
        <f>ROUND(C71*E71/100,0)</f>
        <v/>
      </c>
      <c r="G71" s="61">
        <f>ROUND(D71*E71/100,0)</f>
        <v/>
      </c>
      <c r="H71" s="60" t="inlineStr">
        <is>
          <t>碳水化合物(63g)、铁(2.3mg)</t>
        </is>
      </c>
      <c r="I71" s="60" t="inlineStr">
        <is>
          <t>维生素C(干燥后减少)、钾</t>
        </is>
      </c>
      <c r="J71" s="60" t="inlineStr">
        <is>
          <t>含糖高，补铁但吸收率低</t>
        </is>
      </c>
    </row>
    <row r="72">
      <c r="A72" s="2" t="inlineStr">
        <is>
          <t>大米（生）</t>
        </is>
      </c>
      <c r="B72" s="2" t="inlineStr">
        <is>
          <t>谷薯杂粮</t>
        </is>
      </c>
      <c r="C72" s="4" t="n">
        <v>1448</v>
      </c>
      <c r="D72" s="4" t="n">
        <v>346</v>
      </c>
      <c r="E72" s="4" t="n">
        <v>100</v>
      </c>
      <c r="F72" s="4">
        <f>ROUND(C72*E72/100,0)</f>
        <v/>
      </c>
      <c r="G72" s="4">
        <f>ROUND(D72*E72/100,0)</f>
        <v/>
      </c>
      <c r="H72" s="2" t="inlineStr">
        <is>
          <t>碳水化合物(77g)、蛋白质(6.7g)</t>
        </is>
      </c>
      <c r="I72" s="2" t="inlineStr">
        <is>
          <t>B族维生素（较少）</t>
        </is>
      </c>
      <c r="J72" s="2" t="inlineStr">
        <is>
          <t>GI约73，精白米营养低于糙米</t>
        </is>
      </c>
    </row>
    <row r="73">
      <c r="A73" s="2" t="inlineStr">
        <is>
          <t>糙米（生）</t>
        </is>
      </c>
      <c r="B73" s="2" t="inlineStr">
        <is>
          <t>谷薯杂粮</t>
        </is>
      </c>
      <c r="C73" s="4" t="n">
        <v>1506</v>
      </c>
      <c r="D73" s="4" t="n">
        <v>360</v>
      </c>
      <c r="E73" s="4" t="n">
        <v>100</v>
      </c>
      <c r="F73" s="4">
        <f>ROUND(C73*E73/100,0)</f>
        <v/>
      </c>
      <c r="G73" s="4">
        <f>ROUND(D73*E73/100,0)</f>
        <v/>
      </c>
      <c r="H73" s="2" t="inlineStr">
        <is>
          <t>碳水化合物(76g)、膳食纤维(3.5g)</t>
        </is>
      </c>
      <c r="I73" s="2" t="inlineStr">
        <is>
          <t>B族维生素、镁、锌</t>
        </is>
      </c>
      <c r="J73" s="2" t="inlineStr">
        <is>
          <t>GI约55，营养优于白米</t>
        </is>
      </c>
    </row>
    <row r="74">
      <c r="A74" s="2" t="inlineStr">
        <is>
          <t>小米（生）</t>
        </is>
      </c>
      <c r="B74" s="2" t="inlineStr">
        <is>
          <t>谷薯杂粮</t>
        </is>
      </c>
      <c r="C74" s="4" t="n">
        <v>1506</v>
      </c>
      <c r="D74" s="4" t="n">
        <v>360</v>
      </c>
      <c r="E74" s="4" t="n">
        <v>100</v>
      </c>
      <c r="F74" s="4">
        <f>ROUND(C74*E74/100,0)</f>
        <v/>
      </c>
      <c r="G74" s="4">
        <f>ROUND(D74*E74/100,0)</f>
        <v/>
      </c>
      <c r="H74" s="2" t="inlineStr">
        <is>
          <t>碳水化合物(73g)、蛋白质(9g)</t>
        </is>
      </c>
      <c r="I74" s="2" t="inlineStr">
        <is>
          <t>铁(5.1mg)、B族维生素</t>
        </is>
      </c>
      <c r="J74" s="2" t="inlineStr">
        <is>
          <t>养胃，含铁较高</t>
        </is>
      </c>
    </row>
    <row r="75">
      <c r="A75" s="2" t="inlineStr">
        <is>
          <t>燕麦片（生）</t>
        </is>
      </c>
      <c r="B75" s="2" t="inlineStr">
        <is>
          <t>谷薯杂粮</t>
        </is>
      </c>
      <c r="C75" s="4" t="n">
        <v>1590</v>
      </c>
      <c r="D75" s="4" t="n">
        <v>380</v>
      </c>
      <c r="E75" s="4" t="n">
        <v>100</v>
      </c>
      <c r="F75" s="4">
        <f>ROUND(C75*E75/100,0)</f>
        <v/>
      </c>
      <c r="G75" s="4">
        <f>ROUND(D75*E75/100,0)</f>
        <v/>
      </c>
      <c r="H75" s="2" t="inlineStr">
        <is>
          <t>碳水化合物(67g)、β-葡聚糖(高)</t>
        </is>
      </c>
      <c r="I75" s="2" t="inlineStr">
        <is>
          <t>蛋白质(13g)、铁(4mg)</t>
        </is>
      </c>
      <c r="J75" s="2" t="inlineStr">
        <is>
          <t>β-葡聚糖降低胆固醇，GI约55</t>
        </is>
      </c>
    </row>
    <row r="76">
      <c r="A76" s="2" t="inlineStr">
        <is>
          <t>荞麦（生）</t>
        </is>
      </c>
      <c r="B76" s="2" t="inlineStr">
        <is>
          <t>谷薯杂粮</t>
        </is>
      </c>
      <c r="C76" s="4" t="n">
        <v>1381</v>
      </c>
      <c r="D76" s="4" t="n">
        <v>330</v>
      </c>
      <c r="E76" s="4" t="n">
        <v>100</v>
      </c>
      <c r="F76" s="4">
        <f>ROUND(C76*E76/100,0)</f>
        <v/>
      </c>
      <c r="G76" s="4">
        <f>ROUND(D76*E76/100,0)</f>
        <v/>
      </c>
      <c r="H76" s="2" t="inlineStr">
        <is>
          <t>碳水化合物(71g)、芦丁(高)</t>
        </is>
      </c>
      <c r="I76" s="2" t="inlineStr">
        <is>
          <t>蛋白质(13g)、镁</t>
        </is>
      </c>
      <c r="J76" s="2" t="inlineStr">
        <is>
          <t>辅助降血糖，GI约51</t>
        </is>
      </c>
    </row>
    <row r="77">
      <c r="A77" s="2" t="inlineStr">
        <is>
          <t>玉米面（生）</t>
        </is>
      </c>
      <c r="B77" s="2" t="inlineStr">
        <is>
          <t>谷薯杂粮</t>
        </is>
      </c>
      <c r="C77" s="4" t="n">
        <v>1506</v>
      </c>
      <c r="D77" s="4" t="n">
        <v>360</v>
      </c>
      <c r="E77" s="4" t="n">
        <v>100</v>
      </c>
      <c r="F77" s="4">
        <f>ROUND(C77*E77/100,0)</f>
        <v/>
      </c>
      <c r="G77" s="4">
        <f>ROUND(D77*E77/100,0)</f>
        <v/>
      </c>
      <c r="H77" s="2" t="inlineStr">
        <is>
          <t>碳水化合物(76g)、膳食纤维(3g)</t>
        </is>
      </c>
      <c r="I77" s="2" t="inlineStr">
        <is>
          <t>维生素B1、镁</t>
        </is>
      </c>
      <c r="J77" s="2" t="inlineStr">
        <is>
          <t>玉米黄素含量高</t>
        </is>
      </c>
    </row>
    <row r="78">
      <c r="A78" s="2" t="inlineStr">
        <is>
          <t>薏米（生）</t>
        </is>
      </c>
      <c r="B78" s="2" t="inlineStr">
        <is>
          <t>谷薯杂粮</t>
        </is>
      </c>
      <c r="C78" s="4" t="n">
        <v>1506</v>
      </c>
      <c r="D78" s="4" t="n">
        <v>360</v>
      </c>
      <c r="E78" s="4" t="n">
        <v>100</v>
      </c>
      <c r="F78" s="4">
        <f>ROUND(C78*E78/100,0)</f>
        <v/>
      </c>
      <c r="G78" s="4">
        <f>ROUND(D78*E78/100,0)</f>
        <v/>
      </c>
      <c r="H78" s="2" t="inlineStr">
        <is>
          <t>碳水化合物(72g)、薏苡素</t>
        </is>
      </c>
      <c r="I78" s="2" t="inlineStr">
        <is>
          <t>蛋白质(12g)、铁</t>
        </is>
      </c>
      <c r="J78" s="2" t="inlineStr">
        <is>
          <t>利水祛湿，妊娠期慎用</t>
        </is>
      </c>
    </row>
    <row r="79">
      <c r="A79" s="2" t="inlineStr">
        <is>
          <t>藜麦（生）</t>
        </is>
      </c>
      <c r="B79" s="2" t="inlineStr">
        <is>
          <t>谷薯杂粮</t>
        </is>
      </c>
      <c r="C79" s="4" t="n">
        <v>1506</v>
      </c>
      <c r="D79" s="4" t="n">
        <v>368</v>
      </c>
      <c r="E79" s="4" t="n">
        <v>100</v>
      </c>
      <c r="F79" s="4">
        <f>ROUND(C79*E79/100,0)</f>
        <v/>
      </c>
      <c r="G79" s="4">
        <f>ROUND(D79*E79/100,0)</f>
        <v/>
      </c>
      <c r="H79" s="2" t="inlineStr">
        <is>
          <t>蛋白质(14g,完全蛋白)、碳水化合物(64g)</t>
        </is>
      </c>
      <c r="I79" s="2" t="inlineStr">
        <is>
          <t>铁(4.6mg)、镁、锌</t>
        </is>
      </c>
      <c r="J79" s="2" t="inlineStr">
        <is>
          <t>唯一含完全氨基酸的谷物</t>
        </is>
      </c>
    </row>
    <row r="80">
      <c r="A80" s="2" t="inlineStr">
        <is>
          <t>高粱米（生）</t>
        </is>
      </c>
      <c r="B80" s="2" t="inlineStr">
        <is>
          <t>谷薯杂粮</t>
        </is>
      </c>
      <c r="C80" s="4" t="n">
        <v>1464</v>
      </c>
      <c r="D80" s="4" t="n">
        <v>350</v>
      </c>
      <c r="E80" s="4" t="n">
        <v>100</v>
      </c>
      <c r="F80" s="4">
        <f>ROUND(C80*E80/100,0)</f>
        <v/>
      </c>
      <c r="G80" s="4">
        <f>ROUND(D80*E80/100,0)</f>
        <v/>
      </c>
      <c r="H80" s="2" t="inlineStr">
        <is>
          <t>碳水化合物(73g)、单宁酸</t>
        </is>
      </c>
      <c r="I80" s="2" t="inlineStr">
        <is>
          <t>蛋白质(8g)、铁</t>
        </is>
      </c>
      <c r="J80" s="2" t="inlineStr">
        <is>
          <t>GI低于白米</t>
        </is>
      </c>
    </row>
    <row r="81">
      <c r="A81" s="2" t="inlineStr">
        <is>
          <t>红豆（生）</t>
        </is>
      </c>
      <c r="B81" s="2" t="inlineStr">
        <is>
          <t>谷薯杂粮</t>
        </is>
      </c>
      <c r="C81" s="4" t="n">
        <v>1339</v>
      </c>
      <c r="D81" s="4" t="n">
        <v>320</v>
      </c>
      <c r="E81" s="4" t="n">
        <v>100</v>
      </c>
      <c r="F81" s="4">
        <f>ROUND(C81*E81/100,0)</f>
        <v/>
      </c>
      <c r="G81" s="4">
        <f>ROUND(D81*E81/100,0)</f>
        <v/>
      </c>
      <c r="H81" s="2" t="inlineStr">
        <is>
          <t>碳水化合物(63g)、蛋白质(20g)</t>
        </is>
      </c>
      <c r="I81" s="2" t="inlineStr">
        <is>
          <t>铁(7.4mg,高)、钾</t>
        </is>
      </c>
      <c r="J81" s="2" t="inlineStr">
        <is>
          <t>补血利水，膳食纤维丰富</t>
        </is>
      </c>
    </row>
    <row r="82">
      <c r="A82" s="2" t="inlineStr">
        <is>
          <t>绿豆（生）</t>
        </is>
      </c>
      <c r="B82" s="2" t="inlineStr">
        <is>
          <t>谷薯杂粮</t>
        </is>
      </c>
      <c r="C82" s="4" t="n">
        <v>1339</v>
      </c>
      <c r="D82" s="4" t="n">
        <v>316</v>
      </c>
      <c r="E82" s="4" t="n">
        <v>100</v>
      </c>
      <c r="F82" s="4">
        <f>ROUND(C82*E82/100,0)</f>
        <v/>
      </c>
      <c r="G82" s="4">
        <f>ROUND(D82*E82/100,0)</f>
        <v/>
      </c>
      <c r="H82" s="2" t="inlineStr">
        <is>
          <t>碳水化合物(62g)、蛋白质(23g)</t>
        </is>
      </c>
      <c r="I82" s="2" t="inlineStr">
        <is>
          <t>铁(6.5mg)、维生素B1</t>
        </is>
      </c>
      <c r="J82" s="2" t="inlineStr">
        <is>
          <t>清热解毒，GI约30</t>
        </is>
      </c>
    </row>
    <row r="83">
      <c r="A83" s="2" t="inlineStr">
        <is>
          <t>黑豆（生）</t>
        </is>
      </c>
      <c r="B83" s="2" t="inlineStr">
        <is>
          <t>谷薯杂粮</t>
        </is>
      </c>
      <c r="C83" s="4" t="n">
        <v>1506</v>
      </c>
      <c r="D83" s="4" t="n">
        <v>360</v>
      </c>
      <c r="E83" s="4" t="n">
        <v>100</v>
      </c>
      <c r="F83" s="4">
        <f>ROUND(C83*E83/100,0)</f>
        <v/>
      </c>
      <c r="G83" s="4">
        <f>ROUND(D83*E83/100,0)</f>
        <v/>
      </c>
      <c r="H83" s="2" t="inlineStr">
        <is>
          <t>蛋白质(36g)、花青素</t>
        </is>
      </c>
      <c r="I83" s="2" t="inlineStr">
        <is>
          <t>铁(7mg)、大豆异黄酮</t>
        </is>
      </c>
      <c r="J83" s="2" t="inlineStr">
        <is>
          <t>花青素抗氧化，蛋白质丰富</t>
        </is>
      </c>
    </row>
    <row r="84">
      <c r="A84" s="2" t="inlineStr">
        <is>
          <t>芸豆（生）</t>
        </is>
      </c>
      <c r="B84" s="2" t="inlineStr">
        <is>
          <t>谷薯杂粮</t>
        </is>
      </c>
      <c r="C84" s="4" t="n">
        <v>1339</v>
      </c>
      <c r="D84" s="4" t="n">
        <v>320</v>
      </c>
      <c r="E84" s="4" t="n">
        <v>100</v>
      </c>
      <c r="F84" s="4">
        <f>ROUND(C84*E84/100,0)</f>
        <v/>
      </c>
      <c r="G84" s="4">
        <f>ROUND(D84*E84/100,0)</f>
        <v/>
      </c>
      <c r="H84" s="2" t="inlineStr">
        <is>
          <t>碳水化合物(61g)、蛋白质(23g)</t>
        </is>
      </c>
      <c r="I84" s="2" t="inlineStr">
        <is>
          <t>铁、钾、镁</t>
        </is>
      </c>
      <c r="J84" s="2" t="inlineStr">
        <is>
          <t>高蛋白杂粮，必须充分煮熟</t>
        </is>
      </c>
    </row>
    <row r="85">
      <c r="A85" s="2" t="inlineStr">
        <is>
          <t>鹰嘴豆（生）</t>
        </is>
      </c>
      <c r="B85" s="2" t="inlineStr">
        <is>
          <t>谷薯杂粮</t>
        </is>
      </c>
      <c r="C85" s="4" t="n">
        <v>1590</v>
      </c>
      <c r="D85" s="4" t="n">
        <v>380</v>
      </c>
      <c r="E85" s="4" t="n">
        <v>100</v>
      </c>
      <c r="F85" s="4">
        <f>ROUND(C85*E85/100,0)</f>
        <v/>
      </c>
      <c r="G85" s="4">
        <f>ROUND(D85*E85/100,0)</f>
        <v/>
      </c>
      <c r="H85" s="2" t="inlineStr">
        <is>
          <t>蛋白质(20g)、碳水化合物(61g)</t>
        </is>
      </c>
      <c r="I85" s="2" t="inlineStr">
        <is>
          <t>铁(6mg)、膳食纤维(17g)</t>
        </is>
      </c>
      <c r="J85" s="2" t="inlineStr">
        <is>
          <t>完全植物蛋白，GI约28</t>
        </is>
      </c>
    </row>
    <row r="86">
      <c r="A86" s="2" t="inlineStr">
        <is>
          <t>黑芝麻</t>
        </is>
      </c>
      <c r="B86" s="2" t="inlineStr">
        <is>
          <t>谷薯杂粮</t>
        </is>
      </c>
      <c r="C86" s="4" t="n">
        <v>2326</v>
      </c>
      <c r="D86" s="4" t="n">
        <v>556</v>
      </c>
      <c r="E86" s="4" t="n">
        <v>15</v>
      </c>
      <c r="F86" s="4">
        <f>ROUND(C86*E86/100,0)</f>
        <v/>
      </c>
      <c r="G86" s="4">
        <f>ROUND(D86*E86/100,0)</f>
        <v/>
      </c>
      <c r="H86" s="2" t="inlineStr">
        <is>
          <t>脂肪(46g)、钙(1479mg,极高)</t>
        </is>
      </c>
      <c r="I86" s="2" t="inlineStr">
        <is>
          <t>铁(22mg)、芝麻素</t>
        </is>
      </c>
      <c r="J86" s="2" t="inlineStr">
        <is>
          <t>钙含量是牛奶的3倍</t>
        </is>
      </c>
    </row>
    <row r="87">
      <c r="A87" s="2" t="inlineStr">
        <is>
          <t>白芝麻</t>
        </is>
      </c>
      <c r="B87" s="2" t="inlineStr">
        <is>
          <t>谷薯杂粮</t>
        </is>
      </c>
      <c r="C87" s="4" t="n">
        <v>2335</v>
      </c>
      <c r="D87" s="4" t="n">
        <v>558</v>
      </c>
      <c r="E87" s="4" t="n">
        <v>15</v>
      </c>
      <c r="F87" s="4">
        <f>ROUND(C87*E87/100,0)</f>
        <v/>
      </c>
      <c r="G87" s="4">
        <f>ROUND(D87*E87/100,0)</f>
        <v/>
      </c>
      <c r="H87" s="2" t="inlineStr">
        <is>
          <t>脂肪(46g)、钙(780mg)</t>
        </is>
      </c>
      <c r="I87" s="2" t="inlineStr">
        <is>
          <t>铁(14mg)、维生素E</t>
        </is>
      </c>
      <c r="J87" s="2" t="inlineStr">
        <is>
          <t>高热量，富含矿物质</t>
        </is>
      </c>
    </row>
    <row r="88">
      <c r="A88" s="26" t="inlineStr">
        <is>
          <t>黄豆（生）</t>
        </is>
      </c>
      <c r="B88" s="26" t="inlineStr">
        <is>
          <t>豆类及豆制品</t>
        </is>
      </c>
      <c r="C88" s="28" t="n">
        <v>1590</v>
      </c>
      <c r="D88" s="28" t="n">
        <v>380</v>
      </c>
      <c r="E88" s="28" t="n">
        <v>30</v>
      </c>
      <c r="F88" s="28">
        <f>ROUND(C88*E88/100,0)</f>
        <v/>
      </c>
      <c r="G88" s="28">
        <f>ROUND(D88*E88/100,0)</f>
        <v/>
      </c>
      <c r="H88" s="26" t="inlineStr">
        <is>
          <t>蛋白质(36g)、大豆异黄酮</t>
        </is>
      </c>
      <c r="I88" s="26" t="inlineStr">
        <is>
          <t>脂肪(18g)、铁(9mg)</t>
        </is>
      </c>
      <c r="J88" s="26" t="inlineStr">
        <is>
          <t>完全植物蛋白，含所有必需氨基酸</t>
        </is>
      </c>
    </row>
    <row r="89">
      <c r="A89" s="26" t="inlineStr">
        <is>
          <t>豆腐（北豆腐）</t>
        </is>
      </c>
      <c r="B89" s="26" t="inlineStr">
        <is>
          <t>豆类及豆制品</t>
        </is>
      </c>
      <c r="C89" s="28" t="n">
        <v>301</v>
      </c>
      <c r="D89" s="28" t="n">
        <v>72</v>
      </c>
      <c r="E89" s="28" t="n">
        <v>200</v>
      </c>
      <c r="F89" s="28">
        <f>ROUND(C89*E89/100,0)</f>
        <v/>
      </c>
      <c r="G89" s="28">
        <f>ROUND(D89*E89/100,0)</f>
        <v/>
      </c>
      <c r="H89" s="26" t="inlineStr">
        <is>
          <t>蛋白质(8g)、钙(138mg)</t>
        </is>
      </c>
      <c r="I89" s="26" t="inlineStr">
        <is>
          <t>脂肪(4g)、大豆异黄酮</t>
        </is>
      </c>
      <c r="J89" s="26" t="inlineStr">
        <is>
          <t>北豆腐较硬，钙更高</t>
        </is>
      </c>
    </row>
    <row r="90">
      <c r="A90" s="26" t="inlineStr">
        <is>
          <t>豆腐（南豆腐）</t>
        </is>
      </c>
      <c r="B90" s="26" t="inlineStr">
        <is>
          <t>豆类及豆制品</t>
        </is>
      </c>
      <c r="C90" s="28" t="n">
        <v>209</v>
      </c>
      <c r="D90" s="28" t="n">
        <v>50</v>
      </c>
      <c r="E90" s="28" t="n">
        <v>200</v>
      </c>
      <c r="F90" s="28">
        <f>ROUND(C90*E90/100,0)</f>
        <v/>
      </c>
      <c r="G90" s="28">
        <f>ROUND(D90*E90/100,0)</f>
        <v/>
      </c>
      <c r="H90" s="26" t="inlineStr">
        <is>
          <t>蛋白质(5g)、钙(116mg)</t>
        </is>
      </c>
      <c r="I90" s="26" t="inlineStr">
        <is>
          <t>脂肪(2.5g)、大豆异黄酮</t>
        </is>
      </c>
      <c r="J90" s="26" t="inlineStr">
        <is>
          <t>南豆腐嫩滑，含水更多</t>
        </is>
      </c>
    </row>
    <row r="91">
      <c r="A91" s="26" t="inlineStr">
        <is>
          <t>内酯豆腐</t>
        </is>
      </c>
      <c r="B91" s="26" t="inlineStr">
        <is>
          <t>豆类及豆制品</t>
        </is>
      </c>
      <c r="C91" s="28" t="n">
        <v>167</v>
      </c>
      <c r="D91" s="28" t="n">
        <v>40</v>
      </c>
      <c r="E91" s="28" t="n">
        <v>200</v>
      </c>
      <c r="F91" s="28">
        <f>ROUND(C91*E91/100,0)</f>
        <v/>
      </c>
      <c r="G91" s="28">
        <f>ROUND(D91*E91/100,0)</f>
        <v/>
      </c>
      <c r="H91" s="26" t="inlineStr">
        <is>
          <t>蛋白质(5g)、钙(17mg)</t>
        </is>
      </c>
      <c r="I91" s="26" t="inlineStr">
        <is>
          <t>脂肪(1.9g)</t>
        </is>
      </c>
      <c r="J91" s="26" t="inlineStr">
        <is>
          <t>钙含量低于传统豆腐</t>
        </is>
      </c>
    </row>
    <row r="92">
      <c r="A92" s="26" t="inlineStr">
        <is>
          <t>豆浆（无糖生）</t>
        </is>
      </c>
      <c r="B92" s="26" t="inlineStr">
        <is>
          <t>豆类及豆制品</t>
        </is>
      </c>
      <c r="C92" s="28" t="n">
        <v>167</v>
      </c>
      <c r="D92" s="28" t="n">
        <v>40</v>
      </c>
      <c r="E92" s="28" t="n">
        <v>300</v>
      </c>
      <c r="F92" s="28">
        <f>ROUND(C92*E92/100,0)</f>
        <v/>
      </c>
      <c r="G92" s="28">
        <f>ROUND(D92*E92/100,0)</f>
        <v/>
      </c>
      <c r="H92" s="26" t="inlineStr">
        <is>
          <t>蛋白质(3.5g)、大豆异黄酮</t>
        </is>
      </c>
      <c r="I92" s="26" t="inlineStr">
        <is>
          <t>脂肪(2g)、钙(15mg)</t>
        </is>
      </c>
      <c r="J92" s="26" t="inlineStr">
        <is>
          <t>生豆浆必须煮熟</t>
        </is>
      </c>
    </row>
    <row r="93">
      <c r="A93" s="26" t="inlineStr">
        <is>
          <t>豆干（白）</t>
        </is>
      </c>
      <c r="B93" s="26" t="inlineStr">
        <is>
          <t>豆类及豆制品</t>
        </is>
      </c>
      <c r="C93" s="28" t="n">
        <v>544</v>
      </c>
      <c r="D93" s="28" t="n">
        <v>130</v>
      </c>
      <c r="E93" s="28" t="n">
        <v>50</v>
      </c>
      <c r="F93" s="28">
        <f>ROUND(C93*E93/100,0)</f>
        <v/>
      </c>
      <c r="G93" s="28">
        <f>ROUND(D93*E93/100,0)</f>
        <v/>
      </c>
      <c r="H93" s="26" t="inlineStr">
        <is>
          <t>蛋白质(16g)、钙(308mg)</t>
        </is>
      </c>
      <c r="I93" s="26" t="inlineStr">
        <is>
          <t>脂肪(7g)、铁</t>
        </is>
      </c>
      <c r="J93" s="26" t="inlineStr">
        <is>
          <t>浓缩豆腐，高蛋白</t>
        </is>
      </c>
    </row>
    <row r="94">
      <c r="A94" s="26" t="inlineStr">
        <is>
          <t>腐竹（干）</t>
        </is>
      </c>
      <c r="B94" s="26" t="inlineStr">
        <is>
          <t>豆类及豆制品</t>
        </is>
      </c>
      <c r="C94" s="28" t="n">
        <v>1883</v>
      </c>
      <c r="D94" s="28" t="n">
        <v>450</v>
      </c>
      <c r="E94" s="28" t="n">
        <v>30</v>
      </c>
      <c r="F94" s="28">
        <f>ROUND(C94*E94/100,0)</f>
        <v/>
      </c>
      <c r="G94" s="28">
        <f>ROUND(D94*E94/100,0)</f>
        <v/>
      </c>
      <c r="H94" s="26" t="inlineStr">
        <is>
          <t>蛋白质(44g)、脂肪(26g)</t>
        </is>
      </c>
      <c r="I94" s="26" t="inlineStr">
        <is>
          <t>大豆异黄酮、铁</t>
        </is>
      </c>
      <c r="J94" s="26" t="inlineStr">
        <is>
          <t>豆腐的浓缩形态，高蛋白高脂</t>
        </is>
      </c>
    </row>
    <row r="95">
      <c r="A95" s="26" t="inlineStr">
        <is>
          <t>豆皮（鲜）</t>
        </is>
      </c>
      <c r="B95" s="26" t="inlineStr">
        <is>
          <t>豆类及豆制品</t>
        </is>
      </c>
      <c r="C95" s="28" t="n">
        <v>628</v>
      </c>
      <c r="D95" s="28" t="n">
        <v>150</v>
      </c>
      <c r="E95" s="28" t="n">
        <v>100</v>
      </c>
      <c r="F95" s="28">
        <f>ROUND(C95*E95/100,0)</f>
        <v/>
      </c>
      <c r="G95" s="28">
        <f>ROUND(D95*E95/100,0)</f>
        <v/>
      </c>
      <c r="H95" s="26" t="inlineStr">
        <is>
          <t>蛋白质(15g)、钙(185mg)</t>
        </is>
      </c>
      <c r="I95" s="26" t="inlineStr">
        <is>
          <t>脂肪(8g)、铁</t>
        </is>
      </c>
      <c r="J95" s="26" t="inlineStr">
        <is>
          <t>蛋白质和钙都很丰富</t>
        </is>
      </c>
    </row>
    <row r="96">
      <c r="A96" s="26" t="inlineStr">
        <is>
          <t>纳豆</t>
        </is>
      </c>
      <c r="B96" s="26" t="inlineStr">
        <is>
          <t>豆类及豆制品</t>
        </is>
      </c>
      <c r="C96" s="28" t="n">
        <v>753</v>
      </c>
      <c r="D96" s="28" t="n">
        <v>180</v>
      </c>
      <c r="E96" s="28" t="n">
        <v>100</v>
      </c>
      <c r="F96" s="28">
        <f>ROUND(C96*E96/100,0)</f>
        <v/>
      </c>
      <c r="G96" s="28">
        <f>ROUND(D96*E96/100,0)</f>
        <v/>
      </c>
      <c r="H96" s="26" t="inlineStr">
        <is>
          <t>蛋白质(18g)、维生素K2(极高)</t>
        </is>
      </c>
      <c r="I96" s="26" t="inlineStr">
        <is>
          <t>纳豆激酶、益生菌</t>
        </is>
      </c>
      <c r="J96" s="26" t="inlineStr">
        <is>
          <t>维生素K2对骨骼心血管有益</t>
        </is>
      </c>
    </row>
    <row r="97">
      <c r="A97" s="26" t="inlineStr">
        <is>
          <t>豆腐乳</t>
        </is>
      </c>
      <c r="B97" s="26" t="inlineStr">
        <is>
          <t>豆类及豆制品</t>
        </is>
      </c>
      <c r="C97" s="28" t="n">
        <v>502</v>
      </c>
      <c r="D97" s="28" t="n">
        <v>120</v>
      </c>
      <c r="E97" s="28" t="n">
        <v>20</v>
      </c>
      <c r="F97" s="28">
        <f>ROUND(C97*E97/100,0)</f>
        <v/>
      </c>
      <c r="G97" s="28">
        <f>ROUND(D97*E97/100,0)</f>
        <v/>
      </c>
      <c r="H97" s="26" t="inlineStr">
        <is>
          <t>蛋白质(12g)、维生素B12</t>
        </is>
      </c>
      <c r="I97" s="26" t="inlineStr">
        <is>
          <t>钠极高(&gt;1000mg/100g)</t>
        </is>
      </c>
      <c r="J97" s="26" t="inlineStr">
        <is>
          <t>发酵豆制品，钠含量极高</t>
        </is>
      </c>
    </row>
    <row r="98">
      <c r="A98" s="62" t="inlineStr">
        <is>
          <t>猪里脊</t>
        </is>
      </c>
      <c r="B98" s="62" t="inlineStr">
        <is>
          <t>畜肉类</t>
        </is>
      </c>
      <c r="C98" s="63" t="n">
        <v>502</v>
      </c>
      <c r="D98" s="63" t="n">
        <v>120</v>
      </c>
      <c r="E98" s="63" t="n">
        <v>150</v>
      </c>
      <c r="F98" s="63">
        <f>ROUND(C98*E98/100,0)</f>
        <v/>
      </c>
      <c r="G98" s="63">
        <f>ROUND(D98*E98/100,0)</f>
        <v/>
      </c>
      <c r="H98" s="62" t="inlineStr">
        <is>
          <t>蛋白质(21g)、脂肪(2g)</t>
        </is>
      </c>
      <c r="I98" s="62" t="inlineStr">
        <is>
          <t>维生素B1、锌</t>
        </is>
      </c>
      <c r="J98" s="62" t="inlineStr">
        <is>
          <t>猪肉中最瘦部位，脂肪极低</t>
        </is>
      </c>
    </row>
    <row r="99">
      <c r="A99" s="62" t="inlineStr">
        <is>
          <t>猪五花肉</t>
        </is>
      </c>
      <c r="B99" s="62" t="inlineStr">
        <is>
          <t>畜肉类</t>
        </is>
      </c>
      <c r="C99" s="63" t="n">
        <v>1507</v>
      </c>
      <c r="D99" s="63" t="n">
        <v>360</v>
      </c>
      <c r="E99" s="63" t="n">
        <v>150</v>
      </c>
      <c r="F99" s="63">
        <f>ROUND(C99*E99/100,0)</f>
        <v/>
      </c>
      <c r="G99" s="63">
        <f>ROUND(D99*E99/100,0)</f>
        <v/>
      </c>
      <c r="H99" s="62" t="inlineStr">
        <is>
          <t>脂肪(35g)、蛋白质(14g)</t>
        </is>
      </c>
      <c r="I99" s="62" t="inlineStr">
        <is>
          <t>维生素B1</t>
        </is>
      </c>
      <c r="J99" s="62" t="inlineStr">
        <is>
          <t>肥瘦相间，饱和脂肪高</t>
        </is>
      </c>
    </row>
    <row r="100">
      <c r="A100" s="62" t="inlineStr">
        <is>
          <t>猪腿肉（瘦）</t>
        </is>
      </c>
      <c r="B100" s="62" t="inlineStr">
        <is>
          <t>畜肉类</t>
        </is>
      </c>
      <c r="C100" s="63" t="n">
        <v>544</v>
      </c>
      <c r="D100" s="63" t="n">
        <v>130</v>
      </c>
      <c r="E100" s="63" t="n">
        <v>150</v>
      </c>
      <c r="F100" s="63">
        <f>ROUND(C100*E100/100,0)</f>
        <v/>
      </c>
      <c r="G100" s="63">
        <f>ROUND(D100*E100/100,0)</f>
        <v/>
      </c>
      <c r="H100" s="62" t="inlineStr">
        <is>
          <t>蛋白质(21g)、脂肪(6g)</t>
        </is>
      </c>
      <c r="I100" s="62" t="inlineStr">
        <is>
          <t>锌、维生素B1</t>
        </is>
      </c>
      <c r="J100" s="62" t="inlineStr">
        <is>
          <t>常见炒肉部位</t>
        </is>
      </c>
    </row>
    <row r="101">
      <c r="A101" s="62" t="inlineStr">
        <is>
          <t>猪大排</t>
        </is>
      </c>
      <c r="B101" s="62" t="inlineStr">
        <is>
          <t>畜肉类</t>
        </is>
      </c>
      <c r="C101" s="63" t="n">
        <v>1004</v>
      </c>
      <c r="D101" s="63" t="n">
        <v>240</v>
      </c>
      <c r="E101" s="63" t="n">
        <v>200</v>
      </c>
      <c r="F101" s="63">
        <f>ROUND(C101*E101/100,0)</f>
        <v/>
      </c>
      <c r="G101" s="63">
        <f>ROUND(D101*E101/100,0)</f>
        <v/>
      </c>
      <c r="H101" s="62" t="inlineStr">
        <is>
          <t>蛋白质(17g)、脂肪(17g)</t>
        </is>
      </c>
      <c r="I101" s="62" t="inlineStr">
        <is>
          <t>钙(骨)、磷</t>
        </is>
      </c>
      <c r="J101" s="62" t="inlineStr">
        <is>
          <t>骨头重量约占1/3</t>
        </is>
      </c>
    </row>
    <row r="102">
      <c r="A102" s="62" t="inlineStr">
        <is>
          <t>猪肝</t>
        </is>
      </c>
      <c r="B102" s="62" t="inlineStr">
        <is>
          <t>畜肉类</t>
        </is>
      </c>
      <c r="C102" s="63" t="n">
        <v>544</v>
      </c>
      <c r="D102" s="63" t="n">
        <v>130</v>
      </c>
      <c r="E102" s="63" t="n">
        <v>100</v>
      </c>
      <c r="F102" s="63">
        <f>ROUND(C102*E102/100,0)</f>
        <v/>
      </c>
      <c r="G102" s="63">
        <f>ROUND(D102*E102/100,0)</f>
        <v/>
      </c>
      <c r="H102" s="62" t="inlineStr">
        <is>
          <t>维生素A(极高,4972μg)、铁(22mg)</t>
        </is>
      </c>
      <c r="I102" s="62" t="inlineStr">
        <is>
          <t>维生素B12、锌</t>
        </is>
      </c>
      <c r="J102" s="62" t="inlineStr">
        <is>
          <t>维生素A过量有毒，每周不超50g</t>
        </is>
      </c>
    </row>
    <row r="103">
      <c r="A103" s="62" t="inlineStr">
        <is>
          <t>猪心</t>
        </is>
      </c>
      <c r="B103" s="62" t="inlineStr">
        <is>
          <t>畜肉类</t>
        </is>
      </c>
      <c r="C103" s="63" t="n">
        <v>460</v>
      </c>
      <c r="D103" s="63" t="n">
        <v>110</v>
      </c>
      <c r="E103" s="63" t="n">
        <v>100</v>
      </c>
      <c r="F103" s="63">
        <f>ROUND(C103*E103/100,0)</f>
        <v/>
      </c>
      <c r="G103" s="63">
        <f>ROUND(D103*E103/100,0)</f>
        <v/>
      </c>
      <c r="H103" s="62" t="inlineStr">
        <is>
          <t>蛋白质(16g)、维生素B12</t>
        </is>
      </c>
      <c r="I103" s="62" t="inlineStr">
        <is>
          <t>铁(4.3mg)、辅酶Q10</t>
        </is>
      </c>
      <c r="J103" s="62" t="inlineStr">
        <is>
          <t>心肌组织，辅酶Q10丰富</t>
        </is>
      </c>
    </row>
    <row r="104">
      <c r="A104" s="62" t="inlineStr">
        <is>
          <t>猪肾</t>
        </is>
      </c>
      <c r="B104" s="62" t="inlineStr">
        <is>
          <t>畜肉类</t>
        </is>
      </c>
      <c r="C104" s="63" t="n">
        <v>397</v>
      </c>
      <c r="D104" s="63" t="n">
        <v>95</v>
      </c>
      <c r="E104" s="63" t="n">
        <v>100</v>
      </c>
      <c r="F104" s="63">
        <f>ROUND(C104*E104/100,0)</f>
        <v/>
      </c>
      <c r="G104" s="63">
        <f>ROUND(D104*E104/100,0)</f>
        <v/>
      </c>
      <c r="H104" s="62" t="inlineStr">
        <is>
          <t>蛋白质(15g)、维生素B12</t>
        </is>
      </c>
      <c r="I104" s="62" t="inlineStr">
        <is>
          <t>铁(3mg)、硒</t>
        </is>
      </c>
      <c r="J104" s="62" t="inlineStr">
        <is>
          <t>嘌呤较高，痛风患者慎食</t>
        </is>
      </c>
    </row>
    <row r="105">
      <c r="A105" s="62" t="inlineStr">
        <is>
          <t>猪血</t>
        </is>
      </c>
      <c r="B105" s="62" t="inlineStr">
        <is>
          <t>畜肉类</t>
        </is>
      </c>
      <c r="C105" s="63" t="n">
        <v>222</v>
      </c>
      <c r="D105" s="63" t="n">
        <v>53</v>
      </c>
      <c r="E105" s="63" t="n">
        <v>100</v>
      </c>
      <c r="F105" s="63">
        <f>ROUND(C105*E105/100,0)</f>
        <v/>
      </c>
      <c r="G105" s="63">
        <f>ROUND(D105*E105/100,0)</f>
        <v/>
      </c>
      <c r="H105" s="62" t="inlineStr">
        <is>
          <t>铁(极高,8.7mg血红素铁)、蛋白质(13g)</t>
        </is>
      </c>
      <c r="I105" s="62" t="inlineStr">
        <is>
          <t>维生素B12</t>
        </is>
      </c>
      <c r="J105" s="62" t="inlineStr">
        <is>
          <t>血红素铁吸收率最高</t>
        </is>
      </c>
    </row>
    <row r="106">
      <c r="A106" s="62" t="inlineStr">
        <is>
          <t>牛里脊</t>
        </is>
      </c>
      <c r="B106" s="62" t="inlineStr">
        <is>
          <t>畜肉类</t>
        </is>
      </c>
      <c r="C106" s="63" t="n">
        <v>502</v>
      </c>
      <c r="D106" s="63" t="n">
        <v>120</v>
      </c>
      <c r="E106" s="63" t="n">
        <v>150</v>
      </c>
      <c r="F106" s="63">
        <f>ROUND(C106*E106/100,0)</f>
        <v/>
      </c>
      <c r="G106" s="63">
        <f>ROUND(D106*E106/100,0)</f>
        <v/>
      </c>
      <c r="H106" s="62" t="inlineStr">
        <is>
          <t>蛋白质(22g)、脂肪(2g)</t>
        </is>
      </c>
      <c r="I106" s="62" t="inlineStr">
        <is>
          <t>铁(2.8mg)、锌</t>
        </is>
      </c>
      <c r="J106" s="62" t="inlineStr">
        <is>
          <t>牛肉最瘦部位，健身首选</t>
        </is>
      </c>
    </row>
    <row r="107">
      <c r="A107" s="62" t="inlineStr">
        <is>
          <t>牛腩</t>
        </is>
      </c>
      <c r="B107" s="62" t="inlineStr">
        <is>
          <t>畜肉类</t>
        </is>
      </c>
      <c r="C107" s="63" t="n">
        <v>836</v>
      </c>
      <c r="D107" s="63" t="n">
        <v>200</v>
      </c>
      <c r="E107" s="63" t="n">
        <v>150</v>
      </c>
      <c r="F107" s="63">
        <f>ROUND(C107*E107/100,0)</f>
        <v/>
      </c>
      <c r="G107" s="63">
        <f>ROUND(D107*E107/100,0)</f>
        <v/>
      </c>
      <c r="H107" s="62" t="inlineStr">
        <is>
          <t>蛋白质(17g)、脂肪(13g)</t>
        </is>
      </c>
      <c r="I107" s="62" t="inlineStr">
        <is>
          <t>铁、锌、B12</t>
        </is>
      </c>
      <c r="J107" s="62" t="inlineStr">
        <is>
          <t>筋腱丰富，胶原蛋白多</t>
        </is>
      </c>
    </row>
    <row r="108">
      <c r="A108" s="62" t="inlineStr">
        <is>
          <t>牛肋排</t>
        </is>
      </c>
      <c r="B108" s="62" t="inlineStr">
        <is>
          <t>畜肉类</t>
        </is>
      </c>
      <c r="C108" s="63" t="n">
        <v>1046</v>
      </c>
      <c r="D108" s="63" t="n">
        <v>250</v>
      </c>
      <c r="E108" s="63" t="n">
        <v>200</v>
      </c>
      <c r="F108" s="63">
        <f>ROUND(C108*E108/100,0)</f>
        <v/>
      </c>
      <c r="G108" s="63">
        <f>ROUND(D108*E108/100,0)</f>
        <v/>
      </c>
      <c r="H108" s="62" t="inlineStr">
        <is>
          <t>蛋白质(16g)、脂肪(19g)</t>
        </is>
      </c>
      <c r="I108" s="62" t="inlineStr">
        <is>
          <t>铁、钙(骨)、锌</t>
        </is>
      </c>
      <c r="J108" s="62" t="inlineStr">
        <is>
          <t>骨头约占1/3重量</t>
        </is>
      </c>
    </row>
    <row r="109">
      <c r="A109" s="62" t="inlineStr">
        <is>
          <t>牛肝</t>
        </is>
      </c>
      <c r="B109" s="62" t="inlineStr">
        <is>
          <t>畜肉类</t>
        </is>
      </c>
      <c r="C109" s="63" t="n">
        <v>544</v>
      </c>
      <c r="D109" s="63" t="n">
        <v>130</v>
      </c>
      <c r="E109" s="63" t="n">
        <v>100</v>
      </c>
      <c r="F109" s="63">
        <f>ROUND(C109*E109/100,0)</f>
        <v/>
      </c>
      <c r="G109" s="63">
        <f>ROUND(D109*E109/100,0)</f>
        <v/>
      </c>
      <c r="H109" s="62" t="inlineStr">
        <is>
          <t>维生素A(高,35μg)、铁(6.6mg)</t>
        </is>
      </c>
      <c r="I109" s="62" t="inlineStr">
        <is>
          <t>维生素B12、叶酸</t>
        </is>
      </c>
      <c r="J109" s="62" t="inlineStr">
        <is>
          <t>营养密度极高，维生素A适量</t>
        </is>
      </c>
    </row>
    <row r="110">
      <c r="A110" s="62" t="inlineStr">
        <is>
          <t>牛肚</t>
        </is>
      </c>
      <c r="B110" s="62" t="inlineStr">
        <is>
          <t>畜肉类</t>
        </is>
      </c>
      <c r="C110" s="63" t="n">
        <v>376</v>
      </c>
      <c r="D110" s="63" t="n">
        <v>90</v>
      </c>
      <c r="E110" s="63" t="n">
        <v>150</v>
      </c>
      <c r="F110" s="63">
        <f>ROUND(C110*E110/100,0)</f>
        <v/>
      </c>
      <c r="G110" s="63">
        <f>ROUND(D110*E110/100,0)</f>
        <v/>
      </c>
      <c r="H110" s="62" t="inlineStr">
        <is>
          <t>蛋白质(16g)、脂肪(3g)</t>
        </is>
      </c>
      <c r="I110" s="62" t="inlineStr">
        <is>
          <t>胶原蛋白、锌</t>
        </is>
      </c>
      <c r="J110" s="62" t="inlineStr">
        <is>
          <t>低脂高蛋白，胶原蛋白丰富</t>
        </is>
      </c>
    </row>
    <row r="111">
      <c r="A111" s="62" t="inlineStr">
        <is>
          <t>羊腿肉</t>
        </is>
      </c>
      <c r="B111" s="62" t="inlineStr">
        <is>
          <t>畜肉类</t>
        </is>
      </c>
      <c r="C111" s="63" t="n">
        <v>753</v>
      </c>
      <c r="D111" s="63" t="n">
        <v>180</v>
      </c>
      <c r="E111" s="63" t="n">
        <v>150</v>
      </c>
      <c r="F111" s="63">
        <f>ROUND(C111*E111/100,0)</f>
        <v/>
      </c>
      <c r="G111" s="63">
        <f>ROUND(D111*E111/100,0)</f>
        <v/>
      </c>
      <c r="H111" s="62" t="inlineStr">
        <is>
          <t>蛋白质(19g)、脂肪(12g)</t>
        </is>
      </c>
      <c r="I111" s="62" t="inlineStr">
        <is>
          <t>铁(3.9mg)、锌、B12</t>
        </is>
      </c>
      <c r="J111" s="62" t="inlineStr">
        <is>
          <t>膻味来自支链脂肪酸</t>
        </is>
      </c>
    </row>
    <row r="112">
      <c r="A112" s="62" t="inlineStr">
        <is>
          <t>羊排</t>
        </is>
      </c>
      <c r="B112" s="62" t="inlineStr">
        <is>
          <t>畜肉类</t>
        </is>
      </c>
      <c r="C112" s="63" t="n">
        <v>1046</v>
      </c>
      <c r="D112" s="63" t="n">
        <v>250</v>
      </c>
      <c r="E112" s="63" t="n">
        <v>200</v>
      </c>
      <c r="F112" s="63">
        <f>ROUND(C112*E112/100,0)</f>
        <v/>
      </c>
      <c r="G112" s="63">
        <f>ROUND(D112*E112/100,0)</f>
        <v/>
      </c>
      <c r="H112" s="62" t="inlineStr">
        <is>
          <t>蛋白质(15g)、脂肪(20g)</t>
        </is>
      </c>
      <c r="I112" s="62" t="inlineStr">
        <is>
          <t>铁、锌</t>
        </is>
      </c>
      <c r="J112" s="62" t="inlineStr">
        <is>
          <t>骨头约占1/3</t>
        </is>
      </c>
    </row>
    <row r="113">
      <c r="A113" s="62" t="inlineStr">
        <is>
          <t>兔肉</t>
        </is>
      </c>
      <c r="B113" s="62" t="inlineStr">
        <is>
          <t>畜肉类</t>
        </is>
      </c>
      <c r="C113" s="63" t="n">
        <v>502</v>
      </c>
      <c r="D113" s="63" t="n">
        <v>120</v>
      </c>
      <c r="E113" s="63" t="n">
        <v>150</v>
      </c>
      <c r="F113" s="63">
        <f>ROUND(C113*E113/100,0)</f>
        <v/>
      </c>
      <c r="G113" s="63">
        <f>ROUND(D113*E113/100,0)</f>
        <v/>
      </c>
      <c r="H113" s="62" t="inlineStr">
        <is>
          <t>蛋白质(21g)、脂肪(2g)</t>
        </is>
      </c>
      <c r="I113" s="62" t="inlineStr">
        <is>
          <t>烟酸(高)、维生素B12</t>
        </is>
      </c>
      <c r="J113" s="62" t="inlineStr">
        <is>
          <t>高蛋白低脂，「美容肉」</t>
        </is>
      </c>
    </row>
    <row r="114">
      <c r="A114" s="15" t="inlineStr">
        <is>
          <t>鸡胸肉</t>
        </is>
      </c>
      <c r="B114" s="15" t="inlineStr">
        <is>
          <t>禽肉类</t>
        </is>
      </c>
      <c r="C114" s="16" t="n">
        <v>502</v>
      </c>
      <c r="D114" s="16" t="n">
        <v>120</v>
      </c>
      <c r="E114" s="16" t="n">
        <v>150</v>
      </c>
      <c r="F114" s="16">
        <f>ROUND(C114*E114/100,0)</f>
        <v/>
      </c>
      <c r="G114" s="16">
        <f>ROUND(D114*E114/100,0)</f>
        <v/>
      </c>
      <c r="H114" s="15" t="inlineStr">
        <is>
          <t>蛋白质(23g)、脂肪(2.6g)</t>
        </is>
      </c>
      <c r="I114" s="15" t="inlineStr">
        <is>
          <t>维生素B3、磷</t>
        </is>
      </c>
      <c r="J114" s="15" t="inlineStr">
        <is>
          <t>高蛋白低脂，健身首选</t>
        </is>
      </c>
    </row>
    <row r="115">
      <c r="A115" s="15" t="inlineStr">
        <is>
          <t>鸡腿肉（去皮）</t>
        </is>
      </c>
      <c r="B115" s="15" t="inlineStr">
        <is>
          <t>禽肉类</t>
        </is>
      </c>
      <c r="C115" s="16" t="n">
        <v>544</v>
      </c>
      <c r="D115" s="16" t="n">
        <v>130</v>
      </c>
      <c r="E115" s="16" t="n">
        <v>150</v>
      </c>
      <c r="F115" s="16">
        <f>ROUND(C115*E115/100,0)</f>
        <v/>
      </c>
      <c r="G115" s="16">
        <f>ROUND(D115*E115/100,0)</f>
        <v/>
      </c>
      <c r="H115" s="15" t="inlineStr">
        <is>
          <t>蛋白质(20g)、脂肪(6g)</t>
        </is>
      </c>
      <c r="I115" s="15" t="inlineStr">
        <is>
          <t>铁(1.3mg)、锌</t>
        </is>
      </c>
      <c r="J115" s="15" t="inlineStr">
        <is>
          <t>去皮后脂肪大幅降低</t>
        </is>
      </c>
    </row>
    <row r="116">
      <c r="A116" s="15" t="inlineStr">
        <is>
          <t>鸡翅（整翅）</t>
        </is>
      </c>
      <c r="B116" s="15" t="inlineStr">
        <is>
          <t>禽肉类</t>
        </is>
      </c>
      <c r="C116" s="16" t="n">
        <v>920</v>
      </c>
      <c r="D116" s="16" t="n">
        <v>220</v>
      </c>
      <c r="E116" s="16" t="n">
        <v>100</v>
      </c>
      <c r="F116" s="16">
        <f>ROUND(C116*E116/100,0)</f>
        <v/>
      </c>
      <c r="G116" s="16">
        <f>ROUND(D116*E116/100,0)</f>
        <v/>
      </c>
      <c r="H116" s="15" t="inlineStr">
        <is>
          <t>蛋白质(17g)、脂肪(14g)</t>
        </is>
      </c>
      <c r="I116" s="15" t="inlineStr">
        <is>
          <t>胶原蛋白(鸡皮)、磷</t>
        </is>
      </c>
      <c r="J116" s="15" t="inlineStr">
        <is>
          <t>鸡皮脂肪高，去皮可降热量</t>
        </is>
      </c>
    </row>
    <row r="117">
      <c r="A117" s="15" t="inlineStr">
        <is>
          <t>鸡肝</t>
        </is>
      </c>
      <c r="B117" s="15" t="inlineStr">
        <is>
          <t>禽肉类</t>
        </is>
      </c>
      <c r="C117" s="16" t="n">
        <v>502</v>
      </c>
      <c r="D117" s="16" t="n">
        <v>120</v>
      </c>
      <c r="E117" s="16" t="n">
        <v>100</v>
      </c>
      <c r="F117" s="16">
        <f>ROUND(C117*E117/100,0)</f>
        <v/>
      </c>
      <c r="G117" s="16">
        <f>ROUND(D117*E117/100,0)</f>
        <v/>
      </c>
      <c r="H117" s="15" t="inlineStr">
        <is>
          <t>维生素A(高,10000+μg)、铁(12mg)</t>
        </is>
      </c>
      <c r="I117" s="15" t="inlineStr">
        <is>
          <t>维生素B12、叶酸</t>
        </is>
      </c>
      <c r="J117" s="15" t="inlineStr">
        <is>
          <t>维生素A极高，每周不超50g</t>
        </is>
      </c>
    </row>
    <row r="118">
      <c r="A118" s="15" t="inlineStr">
        <is>
          <t>鸭肉（去皮）</t>
        </is>
      </c>
      <c r="B118" s="15" t="inlineStr">
        <is>
          <t>禽肉类</t>
        </is>
      </c>
      <c r="C118" s="16" t="n">
        <v>628</v>
      </c>
      <c r="D118" s="16" t="n">
        <v>150</v>
      </c>
      <c r="E118" s="16" t="n">
        <v>150</v>
      </c>
      <c r="F118" s="16">
        <f>ROUND(C118*E118/100,0)</f>
        <v/>
      </c>
      <c r="G118" s="16">
        <f>ROUND(D118*E118/100,0)</f>
        <v/>
      </c>
      <c r="H118" s="15" t="inlineStr">
        <is>
          <t>蛋白质(19g)、脂肪(8g)</t>
        </is>
      </c>
      <c r="I118" s="15" t="inlineStr">
        <is>
          <t>铁(2.3mg)、维生素B12</t>
        </is>
      </c>
      <c r="J118" s="15" t="inlineStr">
        <is>
          <t>去皮热量接近鸡腿肉</t>
        </is>
      </c>
    </row>
    <row r="119">
      <c r="A119" s="15" t="inlineStr">
        <is>
          <t>鸭皮</t>
        </is>
      </c>
      <c r="B119" s="15" t="inlineStr">
        <is>
          <t>禽肉类</t>
        </is>
      </c>
      <c r="C119" s="16" t="n">
        <v>2218</v>
      </c>
      <c r="D119" s="16" t="n">
        <v>530</v>
      </c>
      <c r="E119" s="16" t="n">
        <v>50</v>
      </c>
      <c r="F119" s="16">
        <f>ROUND(C119*E119/100,0)</f>
        <v/>
      </c>
      <c r="G119" s="16">
        <f>ROUND(D119*E119/100,0)</f>
        <v/>
      </c>
      <c r="H119" s="15" t="inlineStr">
        <is>
          <t>脂肪(50g)、蛋白质(5g)</t>
        </is>
      </c>
      <c r="I119" s="15" t="inlineStr">
        <is>
          <t>少量维生素</t>
        </is>
      </c>
      <c r="J119" s="15" t="inlineStr">
        <is>
          <t>几乎纯脂肪，高热量</t>
        </is>
      </c>
    </row>
    <row r="120">
      <c r="A120" s="15" t="inlineStr">
        <is>
          <t>鹅肉</t>
        </is>
      </c>
      <c r="B120" s="15" t="inlineStr">
        <is>
          <t>禽肉类</t>
        </is>
      </c>
      <c r="C120" s="16" t="n">
        <v>753</v>
      </c>
      <c r="D120" s="16" t="n">
        <v>180</v>
      </c>
      <c r="E120" s="16" t="n">
        <v>150</v>
      </c>
      <c r="F120" s="16">
        <f>ROUND(C120*E120/100,0)</f>
        <v/>
      </c>
      <c r="G120" s="16">
        <f>ROUND(D120*E120/100,0)</f>
        <v/>
      </c>
      <c r="H120" s="15" t="inlineStr">
        <is>
          <t>蛋白质(18g)、脂肪(12g)</t>
        </is>
      </c>
      <c r="I120" s="15" t="inlineStr">
        <is>
          <t>铁、维生素B12</t>
        </is>
      </c>
      <c r="J120" s="15" t="inlineStr">
        <is>
          <t>脂肪分布均匀</t>
        </is>
      </c>
    </row>
    <row r="121">
      <c r="A121" s="15" t="inlineStr">
        <is>
          <t>火鸡胸肉</t>
        </is>
      </c>
      <c r="B121" s="15" t="inlineStr">
        <is>
          <t>禽肉类</t>
        </is>
      </c>
      <c r="C121" s="16" t="n">
        <v>460</v>
      </c>
      <c r="D121" s="16" t="n">
        <v>110</v>
      </c>
      <c r="E121" s="16" t="n">
        <v>150</v>
      </c>
      <c r="F121" s="16">
        <f>ROUND(C121*E121/100,0)</f>
        <v/>
      </c>
      <c r="G121" s="16">
        <f>ROUND(D121*E121/100,0)</f>
        <v/>
      </c>
      <c r="H121" s="15" t="inlineStr">
        <is>
          <t>蛋白质(24g)、脂肪(1g)</t>
        </is>
      </c>
      <c r="I121" s="15" t="inlineStr">
        <is>
          <t>维生素B3、硒</t>
        </is>
      </c>
      <c r="J121" s="15" t="inlineStr">
        <is>
          <t>脂肪比鸡胸更低</t>
        </is>
      </c>
    </row>
    <row r="122">
      <c r="A122" s="64" t="inlineStr">
        <is>
          <t>草鱼</t>
        </is>
      </c>
      <c r="B122" s="64" t="inlineStr">
        <is>
          <t>水产类</t>
        </is>
      </c>
      <c r="C122" s="65" t="n">
        <v>460</v>
      </c>
      <c r="D122" s="65" t="n">
        <v>110</v>
      </c>
      <c r="E122" s="65" t="n">
        <v>150</v>
      </c>
      <c r="F122" s="65">
        <f>ROUND(C122*E122/100,0)</f>
        <v/>
      </c>
      <c r="G122" s="65">
        <f>ROUND(D122*E122/100,0)</f>
        <v/>
      </c>
      <c r="H122" s="64" t="inlineStr">
        <is>
          <t>蛋白质(18g)、脂肪(4g)</t>
        </is>
      </c>
      <c r="I122" s="64" t="inlineStr">
        <is>
          <t>DHA(0.1g)、钾</t>
        </is>
      </c>
      <c r="J122" s="64" t="inlineStr">
        <is>
          <t>淡水鱼，价格亲民</t>
        </is>
      </c>
    </row>
    <row r="123">
      <c r="A123" s="64" t="inlineStr">
        <is>
          <t>鲤鱼</t>
        </is>
      </c>
      <c r="B123" s="64" t="inlineStr">
        <is>
          <t>水产类</t>
        </is>
      </c>
      <c r="C123" s="65" t="n">
        <v>460</v>
      </c>
      <c r="D123" s="65" t="n">
        <v>110</v>
      </c>
      <c r="E123" s="65" t="n">
        <v>150</v>
      </c>
      <c r="F123" s="65">
        <f>ROUND(C123*E123/100,0)</f>
        <v/>
      </c>
      <c r="G123" s="65">
        <f>ROUND(D123*E123/100,0)</f>
        <v/>
      </c>
      <c r="H123" s="64" t="inlineStr">
        <is>
          <t>蛋白质(18g)、脂肪(4g)</t>
        </is>
      </c>
      <c r="I123" s="64" t="inlineStr">
        <is>
          <t>钾、磷</t>
        </is>
      </c>
      <c r="J123" s="64" t="inlineStr">
        <is>
          <t>淡水鱼常见品种</t>
        </is>
      </c>
    </row>
    <row r="124">
      <c r="A124" s="64" t="inlineStr">
        <is>
          <t>鲫鱼</t>
        </is>
      </c>
      <c r="B124" s="64" t="inlineStr">
        <is>
          <t>水产类</t>
        </is>
      </c>
      <c r="C124" s="65" t="n">
        <v>460</v>
      </c>
      <c r="D124" s="65" t="n">
        <v>110</v>
      </c>
      <c r="E124" s="65" t="n">
        <v>150</v>
      </c>
      <c r="F124" s="65">
        <f>ROUND(C124*E124/100,0)</f>
        <v/>
      </c>
      <c r="G124" s="65">
        <f>ROUND(D124*E124/100,0)</f>
        <v/>
      </c>
      <c r="H124" s="64" t="inlineStr">
        <is>
          <t>蛋白质(17g)、钙(79mg,高)</t>
        </is>
      </c>
      <c r="I124" s="64" t="inlineStr">
        <is>
          <t>DHA、磷</t>
        </is>
      </c>
      <c r="J124" s="64" t="inlineStr">
        <is>
          <t>钙含量高于其他淡水鱼</t>
        </is>
      </c>
    </row>
    <row r="125">
      <c r="A125" s="64" t="inlineStr">
        <is>
          <t>鲈鱼</t>
        </is>
      </c>
      <c r="B125" s="64" t="inlineStr">
        <is>
          <t>水产类</t>
        </is>
      </c>
      <c r="C125" s="65" t="n">
        <v>418</v>
      </c>
      <c r="D125" s="65" t="n">
        <v>100</v>
      </c>
      <c r="E125" s="65" t="n">
        <v>150</v>
      </c>
      <c r="F125" s="65">
        <f>ROUND(C125*E125/100,0)</f>
        <v/>
      </c>
      <c r="G125" s="65">
        <f>ROUND(D125*E125/100,0)</f>
        <v/>
      </c>
      <c r="H125" s="64" t="inlineStr">
        <is>
          <t>蛋白质(19g)、脂肪(2g)</t>
        </is>
      </c>
      <c r="I125" s="64" t="inlineStr">
        <is>
          <t>DHA、钾</t>
        </is>
      </c>
      <c r="J125" s="64" t="inlineStr">
        <is>
          <t>低脂高蛋白，儿童适宜</t>
        </is>
      </c>
    </row>
    <row r="126">
      <c r="A126" s="64" t="inlineStr">
        <is>
          <t>黄鱼（大黄鱼）</t>
        </is>
      </c>
      <c r="B126" s="64" t="inlineStr">
        <is>
          <t>水产类</t>
        </is>
      </c>
      <c r="C126" s="65" t="n">
        <v>418</v>
      </c>
      <c r="D126" s="65" t="n">
        <v>100</v>
      </c>
      <c r="E126" s="65" t="n">
        <v>150</v>
      </c>
      <c r="F126" s="65">
        <f>ROUND(C126*E126/100,0)</f>
        <v/>
      </c>
      <c r="G126" s="65">
        <f>ROUND(D126*E126/100,0)</f>
        <v/>
      </c>
      <c r="H126" s="64" t="inlineStr">
        <is>
          <t>蛋白质(18g)、脂肪(3g)</t>
        </is>
      </c>
      <c r="I126" s="64" t="inlineStr">
        <is>
          <t>DHA、硒</t>
        </is>
      </c>
      <c r="J126" s="64" t="inlineStr">
        <is>
          <t>硒含量较高</t>
        </is>
      </c>
    </row>
    <row r="127">
      <c r="A127" s="64" t="inlineStr">
        <is>
          <t>带鱼</t>
        </is>
      </c>
      <c r="B127" s="64" t="inlineStr">
        <is>
          <t>水产类</t>
        </is>
      </c>
      <c r="C127" s="65" t="n">
        <v>502</v>
      </c>
      <c r="D127" s="65" t="n">
        <v>120</v>
      </c>
      <c r="E127" s="65" t="n">
        <v>150</v>
      </c>
      <c r="F127" s="65">
        <f>ROUND(C127*E127/100,0)</f>
        <v/>
      </c>
      <c r="G127" s="65">
        <f>ROUND(D127*E127/100,0)</f>
        <v/>
      </c>
      <c r="H127" s="64" t="inlineStr">
        <is>
          <t>蛋白质(18g)、脂肪(5g)</t>
        </is>
      </c>
      <c r="I127" s="64" t="inlineStr">
        <is>
          <t>DHA、EPA、钙</t>
        </is>
      </c>
      <c r="J127" s="64" t="inlineStr">
        <is>
          <t>鳞片含6-巯基嘌呤，助抗癌</t>
        </is>
      </c>
    </row>
    <row r="128">
      <c r="A128" s="64" t="inlineStr">
        <is>
          <t>三文鱼（大西洋）</t>
        </is>
      </c>
      <c r="B128" s="64" t="inlineStr">
        <is>
          <t>水产类</t>
        </is>
      </c>
      <c r="C128" s="65" t="n">
        <v>837</v>
      </c>
      <c r="D128" s="65" t="n">
        <v>200</v>
      </c>
      <c r="E128" s="65" t="n">
        <v>150</v>
      </c>
      <c r="F128" s="65">
        <f>ROUND(C128*E128/100,0)</f>
        <v/>
      </c>
      <c r="G128" s="65">
        <f>ROUND(D128*E128/100,0)</f>
        <v/>
      </c>
      <c r="H128" s="64" t="inlineStr">
        <is>
          <t>脂肪(13g)、DHA(高,2g)、蛋白质(19g)</t>
        </is>
      </c>
      <c r="I128" s="64" t="inlineStr">
        <is>
          <t>EPA(1g)、维生素D</t>
        </is>
      </c>
      <c r="J128" s="64" t="inlineStr">
        <is>
          <t>Omega-3含量最高鱼类之一</t>
        </is>
      </c>
    </row>
    <row r="129">
      <c r="A129" s="64" t="inlineStr">
        <is>
          <t>金枪鱼（瘦）</t>
        </is>
      </c>
      <c r="B129" s="64" t="inlineStr">
        <is>
          <t>水产类</t>
        </is>
      </c>
      <c r="C129" s="65" t="n">
        <v>460</v>
      </c>
      <c r="D129" s="65" t="n">
        <v>110</v>
      </c>
      <c r="E129" s="65" t="n">
        <v>150</v>
      </c>
      <c r="F129" s="65">
        <f>ROUND(C129*E129/100,0)</f>
        <v/>
      </c>
      <c r="G129" s="65">
        <f>ROUND(D129*E129/100,0)</f>
        <v/>
      </c>
      <c r="H129" s="64" t="inlineStr">
        <is>
          <t>蛋白质(25g)、脂肪(1g)</t>
        </is>
      </c>
      <c r="I129" s="64" t="inlineStr">
        <is>
          <t>DHA(0.8g)、硒</t>
        </is>
      </c>
      <c r="J129" s="64" t="inlineStr">
        <is>
          <t>罐头金枪鱼注意含钠量</t>
        </is>
      </c>
    </row>
    <row r="130">
      <c r="A130" s="64" t="inlineStr">
        <is>
          <t>鳕鱼</t>
        </is>
      </c>
      <c r="B130" s="64" t="inlineStr">
        <is>
          <t>水产类</t>
        </is>
      </c>
      <c r="C130" s="65" t="n">
        <v>334</v>
      </c>
      <c r="D130" s="65" t="n">
        <v>80</v>
      </c>
      <c r="E130" s="65" t="n">
        <v>150</v>
      </c>
      <c r="F130" s="65">
        <f>ROUND(C130*E130/100,0)</f>
        <v/>
      </c>
      <c r="G130" s="65">
        <f>ROUND(D130*E130/100,0)</f>
        <v/>
      </c>
      <c r="H130" s="64" t="inlineStr">
        <is>
          <t>蛋白质(18g)、脂肪(0.7g)</t>
        </is>
      </c>
      <c r="I130" s="64" t="inlineStr">
        <is>
          <t>维生素B12、磷</t>
        </is>
      </c>
      <c r="J130" s="64" t="inlineStr">
        <is>
          <t>极低脂肪，蛋白质丰富</t>
        </is>
      </c>
    </row>
    <row r="131">
      <c r="A131" s="64" t="inlineStr">
        <is>
          <t>秋刀鱼</t>
        </is>
      </c>
      <c r="B131" s="64" t="inlineStr">
        <is>
          <t>水产类</t>
        </is>
      </c>
      <c r="C131" s="65" t="n">
        <v>1130</v>
      </c>
      <c r="D131" s="65" t="n">
        <v>270</v>
      </c>
      <c r="E131" s="65" t="n">
        <v>150</v>
      </c>
      <c r="F131" s="65">
        <f>ROUND(C131*E131/100,0)</f>
        <v/>
      </c>
      <c r="G131" s="65">
        <f>ROUND(D131*E131/100,0)</f>
        <v/>
      </c>
      <c r="H131" s="64" t="inlineStr">
        <is>
          <t>脂肪(18g)、DHA(高,2.6g)、蛋白质(20g)</t>
        </is>
      </c>
      <c r="I131" s="64" t="inlineStr">
        <is>
          <t>EPA、维生素D</t>
        </is>
      </c>
      <c r="J131" s="64" t="inlineStr">
        <is>
          <t>秋季脂肪最丰富，Omega-3高</t>
        </is>
      </c>
    </row>
    <row r="132">
      <c r="A132" s="64" t="inlineStr">
        <is>
          <t>虾（大虾）</t>
        </is>
      </c>
      <c r="B132" s="64" t="inlineStr">
        <is>
          <t>水产类</t>
        </is>
      </c>
      <c r="C132" s="65" t="n">
        <v>397</v>
      </c>
      <c r="D132" s="65" t="n">
        <v>95</v>
      </c>
      <c r="E132" s="65" t="n">
        <v>150</v>
      </c>
      <c r="F132" s="65">
        <f>ROUND(C132*E132/100,0)</f>
        <v/>
      </c>
      <c r="G132" s="65">
        <f>ROUND(D132*E132/100,0)</f>
        <v/>
      </c>
      <c r="H132" s="64" t="inlineStr">
        <is>
          <t>蛋白质(18g)、脂肪(1.7g)</t>
        </is>
      </c>
      <c r="I132" s="64" t="inlineStr">
        <is>
          <t>锌(高,2.4mg)、硒、牛磺酸</t>
        </is>
      </c>
      <c r="J132" s="64" t="inlineStr">
        <is>
          <t>低脂高蛋白，胆固醇中等</t>
        </is>
      </c>
    </row>
    <row r="133">
      <c r="A133" s="64" t="inlineStr">
        <is>
          <t>基围虾</t>
        </is>
      </c>
      <c r="B133" s="64" t="inlineStr">
        <is>
          <t>水产类</t>
        </is>
      </c>
      <c r="C133" s="65" t="n">
        <v>376</v>
      </c>
      <c r="D133" s="65" t="n">
        <v>90</v>
      </c>
      <c r="E133" s="65" t="n">
        <v>150</v>
      </c>
      <c r="F133" s="65">
        <f>ROUND(C133*E133/100,0)</f>
        <v/>
      </c>
      <c r="G133" s="65">
        <f>ROUND(D133*E133/100,0)</f>
        <v/>
      </c>
      <c r="H133" s="64" t="inlineStr">
        <is>
          <t>蛋白质(18g)、脂肪(1.5g)</t>
        </is>
      </c>
      <c r="I133" s="64" t="inlineStr">
        <is>
          <t>锌、硒</t>
        </is>
      </c>
      <c r="J133" s="64" t="inlineStr">
        <is>
          <t>常见烹饪虾种</t>
        </is>
      </c>
    </row>
    <row r="134">
      <c r="A134" s="64" t="inlineStr">
        <is>
          <t>螃蟹（河蟹）</t>
        </is>
      </c>
      <c r="B134" s="64" t="inlineStr">
        <is>
          <t>水产类</t>
        </is>
      </c>
      <c r="C134" s="65" t="n">
        <v>397</v>
      </c>
      <c r="D134" s="65" t="n">
        <v>95</v>
      </c>
      <c r="E134" s="65" t="n">
        <v>200</v>
      </c>
      <c r="F134" s="65">
        <f>ROUND(C134*E134/100,0)</f>
        <v/>
      </c>
      <c r="G134" s="65">
        <f>ROUND(D134*E134/100,0)</f>
        <v/>
      </c>
      <c r="H134" s="64" t="inlineStr">
        <is>
          <t>蛋白质(14g)、锌(高,3.7mg)</t>
        </is>
      </c>
      <c r="I134" s="64" t="inlineStr">
        <is>
          <t>胆固醇(267mg)、DHA</t>
        </is>
      </c>
      <c r="J134" s="64" t="inlineStr">
        <is>
          <t>胆固醇较高，每次1只适量</t>
        </is>
      </c>
    </row>
    <row r="135">
      <c r="A135" s="64" t="inlineStr">
        <is>
          <t>扇贝（鲜）</t>
        </is>
      </c>
      <c r="B135" s="64" t="inlineStr">
        <is>
          <t>水产类</t>
        </is>
      </c>
      <c r="C135" s="65" t="n">
        <v>251</v>
      </c>
      <c r="D135" s="65" t="n">
        <v>60</v>
      </c>
      <c r="E135" s="65" t="n">
        <v>150</v>
      </c>
      <c r="F135" s="65">
        <f>ROUND(C135*E135/100,0)</f>
        <v/>
      </c>
      <c r="G135" s="65">
        <f>ROUND(D135*E135/100,0)</f>
        <v/>
      </c>
      <c r="H135" s="64" t="inlineStr">
        <is>
          <t>蛋白质(12g)、锌(11.7mg,极高)</t>
        </is>
      </c>
      <c r="I135" s="64" t="inlineStr">
        <is>
          <t>维生素B12、硒</t>
        </is>
      </c>
      <c r="J135" s="64" t="inlineStr">
        <is>
          <t>锌含量极高</t>
        </is>
      </c>
    </row>
    <row r="136">
      <c r="A136" s="64" t="inlineStr">
        <is>
          <t>蛤蜊</t>
        </is>
      </c>
      <c r="B136" s="64" t="inlineStr">
        <is>
          <t>水产类</t>
        </is>
      </c>
      <c r="C136" s="65" t="n">
        <v>251</v>
      </c>
      <c r="D136" s="65" t="n">
        <v>60</v>
      </c>
      <c r="E136" s="65" t="n">
        <v>200</v>
      </c>
      <c r="F136" s="65">
        <f>ROUND(C136*E136/100,0)</f>
        <v/>
      </c>
      <c r="G136" s="65">
        <f>ROUND(D136*E136/100,0)</f>
        <v/>
      </c>
      <c r="H136" s="64" t="inlineStr">
        <is>
          <t>蛋白质(10g)、铁(7.7mg,高)</t>
        </is>
      </c>
      <c r="I136" s="64" t="inlineStr">
        <is>
          <t>锌、牛磺酸、维生素B12</t>
        </is>
      </c>
      <c r="J136" s="64" t="inlineStr">
        <is>
          <t>铁和锌都很丰富</t>
        </is>
      </c>
    </row>
    <row r="137">
      <c r="A137" s="64" t="inlineStr">
        <is>
          <t>牡蛎（生蚝）</t>
        </is>
      </c>
      <c r="B137" s="64" t="inlineStr">
        <is>
          <t>水产类</t>
        </is>
      </c>
      <c r="C137" s="65" t="n">
        <v>280</v>
      </c>
      <c r="D137" s="65" t="n">
        <v>67</v>
      </c>
      <c r="E137" s="65" t="n">
        <v>100</v>
      </c>
      <c r="F137" s="65">
        <f>ROUND(C137*E137/100,0)</f>
        <v/>
      </c>
      <c r="G137" s="65">
        <f>ROUND(D137*E137/100,0)</f>
        <v/>
      </c>
      <c r="H137" s="64" t="inlineStr">
        <is>
          <t>锌(极高,9.4mg)、蛋白质(9g)</t>
        </is>
      </c>
      <c r="I137" s="64" t="inlineStr">
        <is>
          <t>DHA、铁、维生素D</t>
        </is>
      </c>
      <c r="J137" s="64" t="inlineStr">
        <is>
          <t>锌含量食物冠军</t>
        </is>
      </c>
    </row>
    <row r="138">
      <c r="A138" s="64" t="inlineStr">
        <is>
          <t>鱿鱼（鲜）</t>
        </is>
      </c>
      <c r="B138" s="64" t="inlineStr">
        <is>
          <t>水产类</t>
        </is>
      </c>
      <c r="C138" s="65" t="n">
        <v>397</v>
      </c>
      <c r="D138" s="65" t="n">
        <v>95</v>
      </c>
      <c r="E138" s="65" t="n">
        <v>150</v>
      </c>
      <c r="F138" s="65">
        <f>ROUND(C138*E138/100,0)</f>
        <v/>
      </c>
      <c r="G138" s="65">
        <f>ROUND(D138*E138/100,0)</f>
        <v/>
      </c>
      <c r="H138" s="64" t="inlineStr">
        <is>
          <t>蛋白质(18g)、脂肪(1.4g)</t>
        </is>
      </c>
      <c r="I138" s="64" t="inlineStr">
        <is>
          <t>牛磺酸(高)、锌、硒</t>
        </is>
      </c>
      <c r="J138" s="64" t="inlineStr">
        <is>
          <t>胆固醇较高(233mg)</t>
        </is>
      </c>
    </row>
    <row r="139">
      <c r="A139" s="64" t="inlineStr">
        <is>
          <t>章鱼（鲜）</t>
        </is>
      </c>
      <c r="B139" s="64" t="inlineStr">
        <is>
          <t>水产类</t>
        </is>
      </c>
      <c r="C139" s="65" t="n">
        <v>272</v>
      </c>
      <c r="D139" s="65" t="n">
        <v>65</v>
      </c>
      <c r="E139" s="65" t="n">
        <v>150</v>
      </c>
      <c r="F139" s="65">
        <f>ROUND(C139*E139/100,0)</f>
        <v/>
      </c>
      <c r="G139" s="65">
        <f>ROUND(D139*E139/100,0)</f>
        <v/>
      </c>
      <c r="H139" s="64" t="inlineStr">
        <is>
          <t>蛋白质(15g)、脂肪(1g)</t>
        </is>
      </c>
      <c r="I139" s="64" t="inlineStr">
        <is>
          <t>牛磺酸、铁、锌</t>
        </is>
      </c>
      <c r="J139" s="64" t="inlineStr">
        <is>
          <t>低脂低热，海产佳品</t>
        </is>
      </c>
    </row>
    <row r="140">
      <c r="A140" s="64" t="inlineStr">
        <is>
          <t>海参（鲜）</t>
        </is>
      </c>
      <c r="B140" s="64" t="inlineStr">
        <is>
          <t>水产类</t>
        </is>
      </c>
      <c r="C140" s="65" t="n">
        <v>167</v>
      </c>
      <c r="D140" s="65" t="n">
        <v>40</v>
      </c>
      <c r="E140" s="65" t="n">
        <v>150</v>
      </c>
      <c r="F140" s="65">
        <f>ROUND(C140*E140/100,0)</f>
        <v/>
      </c>
      <c r="G140" s="65">
        <f>ROUND(D140*E140/100,0)</f>
        <v/>
      </c>
      <c r="H140" s="64" t="inlineStr">
        <is>
          <t>蛋白质(16g)、脂肪(0.2g)</t>
        </is>
      </c>
      <c r="I140" s="64" t="inlineStr">
        <is>
          <t>海参多糖、钒</t>
        </is>
      </c>
      <c r="J140" s="64" t="inlineStr">
        <is>
          <t>极低脂，蛋白质丰富</t>
        </is>
      </c>
    </row>
    <row r="141">
      <c r="A141" s="64" t="inlineStr">
        <is>
          <t>泥鳅</t>
        </is>
      </c>
      <c r="B141" s="64" t="inlineStr">
        <is>
          <t>水产类</t>
        </is>
      </c>
      <c r="C141" s="65" t="n">
        <v>397</v>
      </c>
      <c r="D141" s="65" t="n">
        <v>95</v>
      </c>
      <c r="E141" s="65" t="n">
        <v>100</v>
      </c>
      <c r="F141" s="65">
        <f>ROUND(C141*E141/100,0)</f>
        <v/>
      </c>
      <c r="G141" s="65">
        <f>ROUND(D141*E141/100,0)</f>
        <v/>
      </c>
      <c r="H141" s="64" t="inlineStr">
        <is>
          <t>蛋白质(18g)、钙(299mg,极高)</t>
        </is>
      </c>
      <c r="I141" s="64" t="inlineStr">
        <is>
          <t>脂肪(2g)、铁</t>
        </is>
      </c>
      <c r="J141" s="64" t="inlineStr">
        <is>
          <t>钙含量远超普通鱼类</t>
        </is>
      </c>
    </row>
    <row r="142">
      <c r="A142" s="23" t="inlineStr">
        <is>
          <t>鸡蛋（全蛋）</t>
        </is>
      </c>
      <c r="B142" s="23" t="inlineStr">
        <is>
          <t>蛋类</t>
        </is>
      </c>
      <c r="C142" s="25" t="n">
        <v>603</v>
      </c>
      <c r="D142" s="25" t="n">
        <v>144</v>
      </c>
      <c r="E142" s="25" t="n">
        <v>60</v>
      </c>
      <c r="F142" s="25">
        <f>ROUND(C142*E142/100,0)</f>
        <v/>
      </c>
      <c r="G142" s="25">
        <f>ROUND(D142*E142/100,0)</f>
        <v/>
      </c>
      <c r="H142" s="23" t="inlineStr">
        <is>
          <t>蛋白质(12g)、卵磷脂(高)</t>
        </is>
      </c>
      <c r="I142" s="23" t="inlineStr">
        <is>
          <t>脂肪(10g)、维生素D、胆碱</t>
        </is>
      </c>
      <c r="J142" s="23" t="inlineStr">
        <is>
          <t>完全蛋白，胆碱对大脑有益</t>
        </is>
      </c>
    </row>
    <row r="143">
      <c r="A143" s="23" t="inlineStr">
        <is>
          <t>鸡蛋白</t>
        </is>
      </c>
      <c r="B143" s="23" t="inlineStr">
        <is>
          <t>蛋类</t>
        </is>
      </c>
      <c r="C143" s="25" t="n">
        <v>197</v>
      </c>
      <c r="D143" s="25" t="n">
        <v>47</v>
      </c>
      <c r="E143" s="25" t="n">
        <v>35</v>
      </c>
      <c r="F143" s="25">
        <f>ROUND(C143*E143/100,0)</f>
        <v/>
      </c>
      <c r="G143" s="25">
        <f>ROUND(D143*E143/100,0)</f>
        <v/>
      </c>
      <c r="H143" s="23" t="inlineStr">
        <is>
          <t>蛋白质(11g)、脂肪(0g)</t>
        </is>
      </c>
      <c r="I143" s="23" t="inlineStr">
        <is>
          <t>维生素B2、硒</t>
        </is>
      </c>
      <c r="J143" s="23" t="inlineStr">
        <is>
          <t>近零脂肪，优质蛋白</t>
        </is>
      </c>
    </row>
    <row r="144">
      <c r="A144" s="23" t="inlineStr">
        <is>
          <t>鸡蛋黄</t>
        </is>
      </c>
      <c r="B144" s="23" t="inlineStr">
        <is>
          <t>蛋类</t>
        </is>
      </c>
      <c r="C144" s="25" t="n">
        <v>1297</v>
      </c>
      <c r="D144" s="25" t="n">
        <v>310</v>
      </c>
      <c r="E144" s="25" t="n">
        <v>18</v>
      </c>
      <c r="F144" s="25">
        <f>ROUND(C144*E144/100,0)</f>
        <v/>
      </c>
      <c r="G144" s="25">
        <f>ROUND(D144*E144/100,0)</f>
        <v/>
      </c>
      <c r="H144" s="23" t="inlineStr">
        <is>
          <t>脂肪(28g)、卵磷脂(高,9g)、维生素D</t>
        </is>
      </c>
      <c r="I144" s="23" t="inlineStr">
        <is>
          <t>铁(4.8mg)、胆固醇(580mg)</t>
        </is>
      </c>
      <c r="J144" s="23" t="inlineStr">
        <is>
          <t>胆固醇高但卵磷脂有助代谢</t>
        </is>
      </c>
    </row>
    <row r="145">
      <c r="A145" s="23" t="inlineStr">
        <is>
          <t>鸭蛋（全蛋）</t>
        </is>
      </c>
      <c r="B145" s="23" t="inlineStr">
        <is>
          <t>蛋类</t>
        </is>
      </c>
      <c r="C145" s="25" t="n">
        <v>753</v>
      </c>
      <c r="D145" s="25" t="n">
        <v>180</v>
      </c>
      <c r="E145" s="25" t="n">
        <v>70</v>
      </c>
      <c r="F145" s="25">
        <f>ROUND(C145*E145/100,0)</f>
        <v/>
      </c>
      <c r="G145" s="25">
        <f>ROUND(D145*E145/100,0)</f>
        <v/>
      </c>
      <c r="H145" s="23" t="inlineStr">
        <is>
          <t>蛋白质(13g)、脂肪(14g)</t>
        </is>
      </c>
      <c r="I145" s="23" t="inlineStr">
        <is>
          <t>维生素B12、铁</t>
        </is>
      </c>
      <c r="J145" s="23" t="inlineStr">
        <is>
          <t>DHA略高于鸡蛋</t>
        </is>
      </c>
    </row>
    <row r="146">
      <c r="A146" s="23" t="inlineStr">
        <is>
          <t>鹌鹑蛋</t>
        </is>
      </c>
      <c r="B146" s="23" t="inlineStr">
        <is>
          <t>蛋类</t>
        </is>
      </c>
      <c r="C146" s="25" t="n">
        <v>669</v>
      </c>
      <c r="D146" s="25" t="n">
        <v>160</v>
      </c>
      <c r="E146" s="25" t="n">
        <v>60</v>
      </c>
      <c r="F146" s="25">
        <f>ROUND(C146*E146/100,0)</f>
        <v/>
      </c>
      <c r="G146" s="25">
        <f>ROUND(D146*E146/100,0)</f>
        <v/>
      </c>
      <c r="H146" s="23" t="inlineStr">
        <is>
          <t>蛋白质(11g)、脂肪(13g)</t>
        </is>
      </c>
      <c r="I146" s="23" t="inlineStr">
        <is>
          <t>维生素A、维生素B2</t>
        </is>
      </c>
      <c r="J146" s="23" t="inlineStr">
        <is>
          <t>营养成分与鸡蛋相近</t>
        </is>
      </c>
    </row>
    <row r="147">
      <c r="A147" s="23" t="inlineStr">
        <is>
          <t>咸鸭蛋</t>
        </is>
      </c>
      <c r="B147" s="23" t="inlineStr">
        <is>
          <t>蛋类</t>
        </is>
      </c>
      <c r="C147" s="25" t="n">
        <v>753</v>
      </c>
      <c r="D147" s="25" t="n">
        <v>180</v>
      </c>
      <c r="E147" s="25" t="n">
        <v>70</v>
      </c>
      <c r="F147" s="25">
        <f>ROUND(C147*E147/100,0)</f>
        <v/>
      </c>
      <c r="G147" s="25">
        <f>ROUND(D147*E147/100,0)</f>
        <v/>
      </c>
      <c r="H147" s="23" t="inlineStr">
        <is>
          <t>蛋白质(12g)、脂肪(14g)</t>
        </is>
      </c>
      <c r="I147" s="23" t="inlineStr">
        <is>
          <t>钠极高(2900mg)、钙</t>
        </is>
      </c>
      <c r="J147" s="23" t="inlineStr">
        <is>
          <t>腌制品，钠含量极高</t>
        </is>
      </c>
    </row>
    <row r="148">
      <c r="A148" s="23" t="inlineStr">
        <is>
          <t>皮蛋</t>
        </is>
      </c>
      <c r="B148" s="23" t="inlineStr">
        <is>
          <t>蛋类</t>
        </is>
      </c>
      <c r="C148" s="25" t="n">
        <v>669</v>
      </c>
      <c r="D148" s="25" t="n">
        <v>160</v>
      </c>
      <c r="E148" s="25" t="n">
        <v>60</v>
      </c>
      <c r="F148" s="25">
        <f>ROUND(C148*E148/100,0)</f>
        <v/>
      </c>
      <c r="G148" s="25">
        <f>ROUND(D148*E148/100,0)</f>
        <v/>
      </c>
      <c r="H148" s="23" t="inlineStr">
        <is>
          <t>蛋白质(14g)、脂肪(11g)</t>
        </is>
      </c>
      <c r="I148" s="23" t="inlineStr">
        <is>
          <t>铁、锌，少量铅</t>
        </is>
      </c>
      <c r="J148" s="23" t="inlineStr">
        <is>
          <t>现代工艺铅含量已降低</t>
        </is>
      </c>
    </row>
    <row r="149">
      <c r="A149" s="20" t="inlineStr">
        <is>
          <t>全脂牛奶</t>
        </is>
      </c>
      <c r="B149" s="20" t="inlineStr">
        <is>
          <t>奶类</t>
        </is>
      </c>
      <c r="C149" s="22" t="n">
        <v>272</v>
      </c>
      <c r="D149" s="22" t="n">
        <v>65</v>
      </c>
      <c r="E149" s="22" t="n">
        <v>250</v>
      </c>
      <c r="F149" s="22">
        <f>ROUND(C149*E149/100,0)</f>
        <v/>
      </c>
      <c r="G149" s="22">
        <f>ROUND(D149*E149/100,0)</f>
        <v/>
      </c>
      <c r="H149" s="20" t="inlineStr">
        <is>
          <t>蛋白质(3.3g)、钙(120mg,高)</t>
        </is>
      </c>
      <c r="I149" s="20" t="inlineStr">
        <is>
          <t>脂肪(3.6g)、维生素D、A</t>
        </is>
      </c>
      <c r="J149" s="20" t="inlineStr">
        <is>
          <t>一杯250ml提供300mg钙</t>
        </is>
      </c>
    </row>
    <row r="150">
      <c r="A150" s="20" t="inlineStr">
        <is>
          <t>脱脂牛奶</t>
        </is>
      </c>
      <c r="B150" s="20" t="inlineStr">
        <is>
          <t>奶类</t>
        </is>
      </c>
      <c r="C150" s="22" t="n">
        <v>142</v>
      </c>
      <c r="D150" s="22" t="n">
        <v>34</v>
      </c>
      <c r="E150" s="22" t="n">
        <v>250</v>
      </c>
      <c r="F150" s="22">
        <f>ROUND(C150*E150/100,0)</f>
        <v/>
      </c>
      <c r="G150" s="22">
        <f>ROUND(D150*E150/100,0)</f>
        <v/>
      </c>
      <c r="H150" s="20" t="inlineStr">
        <is>
          <t>蛋白质(3.4g)、钙(120mg)</t>
        </is>
      </c>
      <c r="I150" s="20" t="inlineStr">
        <is>
          <t>脂肪(0.2g)、维生素B2</t>
        </is>
      </c>
      <c r="J150" s="20" t="inlineStr">
        <is>
          <t>减脂期钙源首选</t>
        </is>
      </c>
    </row>
    <row r="151">
      <c r="A151" s="20" t="inlineStr">
        <is>
          <t>全脂酸奶（原味）</t>
        </is>
      </c>
      <c r="B151" s="20" t="inlineStr">
        <is>
          <t>奶类</t>
        </is>
      </c>
      <c r="C151" s="22" t="n">
        <v>301</v>
      </c>
      <c r="D151" s="22" t="n">
        <v>72</v>
      </c>
      <c r="E151" s="22" t="n">
        <v>200</v>
      </c>
      <c r="F151" s="22">
        <f>ROUND(C151*E151/100,0)</f>
        <v/>
      </c>
      <c r="G151" s="22">
        <f>ROUND(D151*E151/100,0)</f>
        <v/>
      </c>
      <c r="H151" s="20" t="inlineStr">
        <is>
          <t>蛋白质(3.5g)、益生菌、钙</t>
        </is>
      </c>
      <c r="I151" s="20" t="inlineStr">
        <is>
          <t>维生素B2、维生素D</t>
        </is>
      </c>
      <c r="J151" s="20" t="inlineStr">
        <is>
          <t>发酵提高消化吸收率</t>
        </is>
      </c>
    </row>
    <row r="152">
      <c r="A152" s="20" t="inlineStr">
        <is>
          <t>希腊酸奶（原味）</t>
        </is>
      </c>
      <c r="B152" s="20" t="inlineStr">
        <is>
          <t>奶类</t>
        </is>
      </c>
      <c r="C152" s="22" t="n">
        <v>418</v>
      </c>
      <c r="D152" s="22" t="n">
        <v>100</v>
      </c>
      <c r="E152" s="22" t="n">
        <v>200</v>
      </c>
      <c r="F152" s="22">
        <f>ROUND(C152*E152/100,0)</f>
        <v/>
      </c>
      <c r="G152" s="22">
        <f>ROUND(D152*E152/100,0)</f>
        <v/>
      </c>
      <c r="H152" s="20" t="inlineStr">
        <is>
          <t>蛋白质(9-10g,高)、钙(110mg)</t>
        </is>
      </c>
      <c r="I152" s="20" t="inlineStr">
        <is>
          <t>益生菌、维生素B12</t>
        </is>
      </c>
      <c r="J152" s="20" t="inlineStr">
        <is>
          <t>蛋白质是普通酸奶的2-3倍</t>
        </is>
      </c>
    </row>
    <row r="153">
      <c r="A153" s="20" t="inlineStr">
        <is>
          <t>奶酪（切达）</t>
        </is>
      </c>
      <c r="B153" s="20" t="inlineStr">
        <is>
          <t>奶类</t>
        </is>
      </c>
      <c r="C153" s="22" t="n">
        <v>1632</v>
      </c>
      <c r="D153" s="22" t="n">
        <v>390</v>
      </c>
      <c r="E153" s="22" t="n">
        <v>30</v>
      </c>
      <c r="F153" s="22">
        <f>ROUND(C153*E153/100,0)</f>
        <v/>
      </c>
      <c r="G153" s="22">
        <f>ROUND(D153*E153/100,0)</f>
        <v/>
      </c>
      <c r="H153" s="20" t="inlineStr">
        <is>
          <t>脂肪(33g)、钙(721mg,极高)</t>
        </is>
      </c>
      <c r="I153" s="20" t="inlineStr">
        <is>
          <t>蛋白质(25g)、维生素A</t>
        </is>
      </c>
      <c r="J153" s="20" t="inlineStr">
        <is>
          <t>30g钙约等于一杯牛奶</t>
        </is>
      </c>
    </row>
    <row r="154">
      <c r="A154" s="20" t="inlineStr">
        <is>
          <t>奶酪（马苏里拉）</t>
        </is>
      </c>
      <c r="B154" s="20" t="inlineStr">
        <is>
          <t>奶类</t>
        </is>
      </c>
      <c r="C154" s="22" t="n">
        <v>1172</v>
      </c>
      <c r="D154" s="22" t="n">
        <v>280</v>
      </c>
      <c r="E154" s="22" t="n">
        <v>30</v>
      </c>
      <c r="F154" s="22">
        <f>ROUND(C154*E154/100,0)</f>
        <v/>
      </c>
      <c r="G154" s="22">
        <f>ROUND(D154*E154/100,0)</f>
        <v/>
      </c>
      <c r="H154" s="20" t="inlineStr">
        <is>
          <t>蛋白质(22g)、钙(505mg)</t>
        </is>
      </c>
      <c r="I154" s="20" t="inlineStr">
        <is>
          <t>脂肪(17g)、维生素A</t>
        </is>
      </c>
      <c r="J154" s="20" t="inlineStr">
        <is>
          <t>比切达脂肪低，常用于披萨</t>
        </is>
      </c>
    </row>
    <row r="155">
      <c r="A155" s="20" t="inlineStr">
        <is>
          <t>黄油</t>
        </is>
      </c>
      <c r="B155" s="20" t="inlineStr">
        <is>
          <t>奶类</t>
        </is>
      </c>
      <c r="C155" s="22" t="n">
        <v>2997</v>
      </c>
      <c r="D155" s="22" t="n">
        <v>716</v>
      </c>
      <c r="E155" s="22" t="n">
        <v>10</v>
      </c>
      <c r="F155" s="22">
        <f>ROUND(C155*E155/100,0)</f>
        <v/>
      </c>
      <c r="G155" s="22">
        <f>ROUND(D155*E155/100,0)</f>
        <v/>
      </c>
      <c r="H155" s="20" t="inlineStr">
        <is>
          <t>脂肪(81g)、维生素A(高)</t>
        </is>
      </c>
      <c r="I155" s="20" t="inlineStr">
        <is>
          <t>饱和脂肪(51g)、胆固醇</t>
        </is>
      </c>
      <c r="J155" s="20" t="inlineStr">
        <is>
          <t>几乎纯脂肪，热量极高</t>
        </is>
      </c>
    </row>
    <row r="156">
      <c r="A156" s="20" t="inlineStr">
        <is>
          <t>淡奶油</t>
        </is>
      </c>
      <c r="B156" s="20" t="inlineStr">
        <is>
          <t>奶类</t>
        </is>
      </c>
      <c r="C156" s="22" t="n">
        <v>1389</v>
      </c>
      <c r="D156" s="22" t="n">
        <v>330</v>
      </c>
      <c r="E156" s="22" t="n">
        <v>30</v>
      </c>
      <c r="F156" s="22">
        <f>ROUND(C156*E156/100,0)</f>
        <v/>
      </c>
      <c r="G156" s="22">
        <f>ROUND(D156*E156/100,0)</f>
        <v/>
      </c>
      <c r="H156" s="20" t="inlineStr">
        <is>
          <t>脂肪(35g)、钙</t>
        </is>
      </c>
      <c r="I156" s="20" t="inlineStr">
        <is>
          <t>饱和脂肪、维生素A</t>
        </is>
      </c>
      <c r="J156" s="20" t="inlineStr">
        <is>
          <t>打发奶油，高热量</t>
        </is>
      </c>
    </row>
    <row r="157">
      <c r="A157" s="20" t="inlineStr">
        <is>
          <t>炼乳（加糖）</t>
        </is>
      </c>
      <c r="B157" s="20" t="inlineStr">
        <is>
          <t>奶类</t>
        </is>
      </c>
      <c r="C157" s="22" t="n">
        <v>1339</v>
      </c>
      <c r="D157" s="22" t="n">
        <v>320</v>
      </c>
      <c r="E157" s="22" t="n">
        <v>20</v>
      </c>
      <c r="F157" s="22">
        <f>ROUND(C157*E157/100,0)</f>
        <v/>
      </c>
      <c r="G157" s="22">
        <f>ROUND(D157*E157/100,0)</f>
        <v/>
      </c>
      <c r="H157" s="20" t="inlineStr">
        <is>
          <t>碳水化合物(55g)、糖(54g)、钙</t>
        </is>
      </c>
      <c r="I157" s="20" t="inlineStr">
        <is>
          <t>蛋白质(8g)</t>
        </is>
      </c>
      <c r="J157" s="20" t="inlineStr">
        <is>
          <t>高糖，调味用</t>
        </is>
      </c>
    </row>
    <row r="158">
      <c r="A158" s="66" t="inlineStr">
        <is>
          <t>橄榄油</t>
        </is>
      </c>
      <c r="B158" s="66" t="inlineStr">
        <is>
          <t>坚果油脂</t>
        </is>
      </c>
      <c r="C158" s="67" t="n">
        <v>3699</v>
      </c>
      <c r="D158" s="67" t="n">
        <v>884</v>
      </c>
      <c r="E158" s="67" t="n">
        <v>10</v>
      </c>
      <c r="F158" s="67">
        <f>ROUND(C158*E158/100,0)</f>
        <v/>
      </c>
      <c r="G158" s="67">
        <f>ROUND(D158*E158/100,0)</f>
        <v/>
      </c>
      <c r="H158" s="66" t="inlineStr">
        <is>
          <t>脂肪(100g)、单不饱和脂肪酸(73g)</t>
        </is>
      </c>
      <c r="I158" s="66" t="inlineStr">
        <is>
          <t>维生素E、多酚类</t>
        </is>
      </c>
      <c r="J158" s="66" t="inlineStr">
        <is>
          <t>地中海饮食核心，耐高温性中等</t>
        </is>
      </c>
    </row>
    <row r="159">
      <c r="A159" s="66" t="inlineStr">
        <is>
          <t>菜籽油</t>
        </is>
      </c>
      <c r="B159" s="66" t="inlineStr">
        <is>
          <t>坚果油脂</t>
        </is>
      </c>
      <c r="C159" s="67" t="n">
        <v>3699</v>
      </c>
      <c r="D159" s="67" t="n">
        <v>884</v>
      </c>
      <c r="E159" s="67" t="n">
        <v>10</v>
      </c>
      <c r="F159" s="67">
        <f>ROUND(C159*E159/100,0)</f>
        <v/>
      </c>
      <c r="G159" s="67">
        <f>ROUND(D159*E159/100,0)</f>
        <v/>
      </c>
      <c r="H159" s="66" t="inlineStr">
        <is>
          <t>脂肪(100g)、Omega-3(9%)</t>
        </is>
      </c>
      <c r="I159" s="66" t="inlineStr">
        <is>
          <t>维生素E、维生素K</t>
        </is>
      </c>
      <c r="J159" s="66" t="inlineStr">
        <is>
          <t>国内最常用食用油之一</t>
        </is>
      </c>
    </row>
    <row r="160">
      <c r="A160" s="66" t="inlineStr">
        <is>
          <t>花生油</t>
        </is>
      </c>
      <c r="B160" s="66" t="inlineStr">
        <is>
          <t>坚果油脂</t>
        </is>
      </c>
      <c r="C160" s="67" t="n">
        <v>3699</v>
      </c>
      <c r="D160" s="67" t="n">
        <v>884</v>
      </c>
      <c r="E160" s="67" t="n">
        <v>10</v>
      </c>
      <c r="F160" s="67">
        <f>ROUND(C160*E160/100,0)</f>
        <v/>
      </c>
      <c r="G160" s="67">
        <f>ROUND(D160*E160/100,0)</f>
        <v/>
      </c>
      <c r="H160" s="66" t="inlineStr">
        <is>
          <t>脂肪(100g)、单不饱和脂肪酸(47%)</t>
        </is>
      </c>
      <c r="I160" s="66" t="inlineStr">
        <is>
          <t>维生素E、白藜芦醇</t>
        </is>
      </c>
      <c r="J160" s="66" t="inlineStr">
        <is>
          <t>适合中高温烹饪</t>
        </is>
      </c>
    </row>
    <row r="161">
      <c r="A161" s="66" t="inlineStr">
        <is>
          <t>芝麻油（香油）</t>
        </is>
      </c>
      <c r="B161" s="66" t="inlineStr">
        <is>
          <t>坚果油脂</t>
        </is>
      </c>
      <c r="C161" s="67" t="n">
        <v>3699</v>
      </c>
      <c r="D161" s="67" t="n">
        <v>884</v>
      </c>
      <c r="E161" s="67" t="n">
        <v>5</v>
      </c>
      <c r="F161" s="67">
        <f>ROUND(C161*E161/100,0)</f>
        <v/>
      </c>
      <c r="G161" s="67">
        <f>ROUND(D161*E161/100,0)</f>
        <v/>
      </c>
      <c r="H161" s="66" t="inlineStr">
        <is>
          <t>脂肪(100g)、芝麻素(抗氧化)</t>
        </is>
      </c>
      <c r="I161" s="66" t="inlineStr">
        <is>
          <t>维生素E</t>
        </is>
      </c>
      <c r="J161" s="66" t="inlineStr">
        <is>
          <t>调味为主，不适合高温烹饪</t>
        </is>
      </c>
    </row>
    <row r="162">
      <c r="A162" s="66" t="inlineStr">
        <is>
          <t>椰子油</t>
        </is>
      </c>
      <c r="B162" s="66" t="inlineStr">
        <is>
          <t>坚果油脂</t>
        </is>
      </c>
      <c r="C162" s="67" t="n">
        <v>3699</v>
      </c>
      <c r="D162" s="67" t="n">
        <v>884</v>
      </c>
      <c r="E162" s="67" t="n">
        <v>10</v>
      </c>
      <c r="F162" s="67">
        <f>ROUND(C162*E162/100,0)</f>
        <v/>
      </c>
      <c r="G162" s="67">
        <f>ROUND(D162*E162/100,0)</f>
        <v/>
      </c>
      <c r="H162" s="66" t="inlineStr">
        <is>
          <t>脂肪(100g)、中链脂肪酸(65%)</t>
        </is>
      </c>
      <c r="I162" s="66" t="inlineStr">
        <is>
          <t>月桂酸(抗菌)</t>
        </is>
      </c>
      <c r="J162" s="66" t="inlineStr">
        <is>
          <t>饱和脂肪高，适合中低温</t>
        </is>
      </c>
    </row>
    <row r="163">
      <c r="A163" s="66" t="inlineStr">
        <is>
          <t>亚麻籽油</t>
        </is>
      </c>
      <c r="B163" s="66" t="inlineStr">
        <is>
          <t>坚果油脂</t>
        </is>
      </c>
      <c r="C163" s="67" t="n">
        <v>3699</v>
      </c>
      <c r="D163" s="67" t="n">
        <v>884</v>
      </c>
      <c r="E163" s="67" t="n">
        <v>10</v>
      </c>
      <c r="F163" s="67">
        <f>ROUND(C163*E163/100,0)</f>
        <v/>
      </c>
      <c r="G163" s="67">
        <f>ROUND(D163*E163/100,0)</f>
        <v/>
      </c>
      <c r="H163" s="66" t="inlineStr">
        <is>
          <t>Omega-3(α-亚麻酸,57%)、维生素E</t>
        </is>
      </c>
      <c r="I163" s="66" t="inlineStr">
        <is>
          <t>木酚素(抗氧化)</t>
        </is>
      </c>
      <c r="J163" s="66" t="inlineStr">
        <is>
          <t>不耐热，凉拌或直接食用</t>
        </is>
      </c>
    </row>
    <row r="164">
      <c r="A164" s="66" t="inlineStr">
        <is>
          <t>核桃</t>
        </is>
      </c>
      <c r="B164" s="66" t="inlineStr">
        <is>
          <t>坚果油脂</t>
        </is>
      </c>
      <c r="C164" s="67" t="n">
        <v>2703</v>
      </c>
      <c r="D164" s="67" t="n">
        <v>646</v>
      </c>
      <c r="E164" s="67" t="n">
        <v>20</v>
      </c>
      <c r="F164" s="67">
        <f>ROUND(C164*E164/100,0)</f>
        <v/>
      </c>
      <c r="G164" s="67">
        <f>ROUND(D164*E164/100,0)</f>
        <v/>
      </c>
      <c r="H164" s="66" t="inlineStr">
        <is>
          <t>Omega-3(α-亚麻酸,9.1g/100g)、维生素E</t>
        </is>
      </c>
      <c r="I164" s="66" t="inlineStr">
        <is>
          <t>蛋白质(15g)、铜</t>
        </is>
      </c>
      <c r="J164" s="66" t="inlineStr">
        <is>
          <t>Omega-3最高的坚果</t>
        </is>
      </c>
    </row>
    <row r="165">
      <c r="A165" s="66" t="inlineStr">
        <is>
          <t>杏仁</t>
        </is>
      </c>
      <c r="B165" s="66" t="inlineStr">
        <is>
          <t>坚果油脂</t>
        </is>
      </c>
      <c r="C165" s="67" t="n">
        <v>2411</v>
      </c>
      <c r="D165" s="67" t="n">
        <v>576</v>
      </c>
      <c r="E165" s="67" t="n">
        <v>20</v>
      </c>
      <c r="F165" s="67">
        <f>ROUND(C165*E165/100,0)</f>
        <v/>
      </c>
      <c r="G165" s="67">
        <f>ROUND(D165*E165/100,0)</f>
        <v/>
      </c>
      <c r="H165" s="66" t="inlineStr">
        <is>
          <t>维生素E(极高,26mg)、钙(264mg)</t>
        </is>
      </c>
      <c r="I165" s="66" t="inlineStr">
        <is>
          <t>脂肪(50g)、镁</t>
        </is>
      </c>
      <c r="J165" s="66" t="inlineStr">
        <is>
          <t>维生素E含量坚果之冠</t>
        </is>
      </c>
    </row>
    <row r="166">
      <c r="A166" s="66" t="inlineStr">
        <is>
          <t>腰果</t>
        </is>
      </c>
      <c r="B166" s="66" t="inlineStr">
        <is>
          <t>坚果油脂</t>
        </is>
      </c>
      <c r="C166" s="67" t="n">
        <v>2368</v>
      </c>
      <c r="D166" s="67" t="n">
        <v>566</v>
      </c>
      <c r="E166" s="67" t="n">
        <v>20</v>
      </c>
      <c r="F166" s="67">
        <f>ROUND(C166*E166/100,0)</f>
        <v/>
      </c>
      <c r="G166" s="67">
        <f>ROUND(D166*E166/100,0)</f>
        <v/>
      </c>
      <c r="H166" s="66" t="inlineStr">
        <is>
          <t>镁(292mg,高)、铜(高)</t>
        </is>
      </c>
      <c r="I166" s="66" t="inlineStr">
        <is>
          <t>脂肪(44g)、锌</t>
        </is>
      </c>
      <c r="J166" s="66" t="inlineStr">
        <is>
          <t>镁和铜含量丰富</t>
        </is>
      </c>
    </row>
    <row r="167">
      <c r="A167" s="66" t="inlineStr">
        <is>
          <t>葵花籽</t>
        </is>
      </c>
      <c r="B167" s="66" t="inlineStr">
        <is>
          <t>坚果油脂</t>
        </is>
      </c>
      <c r="C167" s="67" t="n">
        <v>2459</v>
      </c>
      <c r="D167" s="67" t="n">
        <v>588</v>
      </c>
      <c r="E167" s="67" t="n">
        <v>20</v>
      </c>
      <c r="F167" s="67">
        <f>ROUND(C167*E167/100,0)</f>
        <v/>
      </c>
      <c r="G167" s="67">
        <f>ROUND(D167*E167/100,0)</f>
        <v/>
      </c>
      <c r="H167" s="66" t="inlineStr">
        <is>
          <t>维生素E(高,35mg)、硒</t>
        </is>
      </c>
      <c r="I167" s="66" t="inlineStr">
        <is>
          <t>脂肪(52g)、镁</t>
        </is>
      </c>
      <c r="J167" s="66" t="inlineStr">
        <is>
          <t>亚油酸含量高</t>
        </is>
      </c>
    </row>
    <row r="168">
      <c r="A168" s="66" t="inlineStr">
        <is>
          <t>南瓜子</t>
        </is>
      </c>
      <c r="B168" s="66" t="inlineStr">
        <is>
          <t>坚果油脂</t>
        </is>
      </c>
      <c r="C168" s="67" t="n">
        <v>2459</v>
      </c>
      <c r="D168" s="67" t="n">
        <v>588</v>
      </c>
      <c r="E168" s="67" t="n">
        <v>20</v>
      </c>
      <c r="F168" s="67">
        <f>ROUND(C168*E168/100,0)</f>
        <v/>
      </c>
      <c r="G168" s="67">
        <f>ROUND(D168*E168/100,0)</f>
        <v/>
      </c>
      <c r="H168" s="66" t="inlineStr">
        <is>
          <t>锌(极高,7.5mg)、镁(592mg,极高)</t>
        </is>
      </c>
      <c r="I168" s="66" t="inlineStr">
        <is>
          <t>蛋白质(30g)、脂肪(50g)</t>
        </is>
      </c>
      <c r="J168" s="66" t="inlineStr">
        <is>
          <t>锌含量坚果之冠</t>
        </is>
      </c>
    </row>
    <row r="169">
      <c r="A169" s="68" t="inlineStr">
        <is>
          <t>生抽（酱油）</t>
        </is>
      </c>
      <c r="B169" s="68" t="inlineStr">
        <is>
          <t>调味料</t>
        </is>
      </c>
      <c r="C169" s="69" t="n">
        <v>251</v>
      </c>
      <c r="D169" s="69" t="n">
        <v>60</v>
      </c>
      <c r="E169" s="69" t="n">
        <v>15</v>
      </c>
      <c r="F169" s="69">
        <f>ROUND(C169*E169/100,0)</f>
        <v/>
      </c>
      <c r="G169" s="69">
        <f>ROUND(D169*E169/100,0)</f>
        <v/>
      </c>
      <c r="H169" s="68" t="inlineStr">
        <is>
          <t>钠(极高,5000mg/100g)、蛋白质(8g)</t>
        </is>
      </c>
      <c r="I169" s="68" t="inlineStr">
        <is>
          <t>谷氨酸、氨基酸</t>
        </is>
      </c>
      <c r="J169" s="68" t="inlineStr">
        <is>
          <t>15ml约含钠750mg，超日推荐量1/3</t>
        </is>
      </c>
    </row>
    <row r="170">
      <c r="A170" s="68" t="inlineStr">
        <is>
          <t>老抽</t>
        </is>
      </c>
      <c r="B170" s="68" t="inlineStr">
        <is>
          <t>调味料</t>
        </is>
      </c>
      <c r="C170" s="69" t="n">
        <v>251</v>
      </c>
      <c r="D170" s="69" t="n">
        <v>60</v>
      </c>
      <c r="E170" s="69" t="n">
        <v>10</v>
      </c>
      <c r="F170" s="69">
        <f>ROUND(C170*E170/100,0)</f>
        <v/>
      </c>
      <c r="G170" s="69">
        <f>ROUND(D170*E170/100,0)</f>
        <v/>
      </c>
      <c r="H170" s="68" t="inlineStr">
        <is>
          <t>钠(极高)、焦糖色</t>
        </is>
      </c>
      <c r="I170" s="68" t="inlineStr">
        <is>
          <t>蛋白质</t>
        </is>
      </c>
      <c r="J170" s="68" t="inlineStr">
        <is>
          <t>上色为主，咸度低于生抽</t>
        </is>
      </c>
    </row>
    <row r="171">
      <c r="A171" s="68" t="inlineStr">
        <is>
          <t>食盐</t>
        </is>
      </c>
      <c r="B171" s="68" t="inlineStr">
        <is>
          <t>调味料</t>
        </is>
      </c>
      <c r="C171" s="69" t="n">
        <v>0</v>
      </c>
      <c r="D171" s="69" t="n">
        <v>0</v>
      </c>
      <c r="E171" s="69" t="n">
        <v>5</v>
      </c>
      <c r="F171" s="69">
        <f>ROUND(C171*E171/100,0)</f>
        <v/>
      </c>
      <c r="G171" s="69">
        <f>ROUND(D171*E171/100,0)</f>
        <v/>
      </c>
      <c r="H171" s="68" t="inlineStr">
        <is>
          <t>钠(39330mg/100g,极高)</t>
        </is>
      </c>
      <c r="I171" s="68" t="inlineStr">
        <is>
          <t>氯化钠、碘（加碘盐）</t>
        </is>
      </c>
      <c r="J171" s="68" t="inlineStr">
        <is>
          <t>5g含钠2000mg，超每日推荐量</t>
        </is>
      </c>
    </row>
    <row r="172">
      <c r="A172" s="68" t="inlineStr">
        <is>
          <t>白糖</t>
        </is>
      </c>
      <c r="B172" s="68" t="inlineStr">
        <is>
          <t>调味料</t>
        </is>
      </c>
      <c r="C172" s="69" t="n">
        <v>1590</v>
      </c>
      <c r="D172" s="69" t="n">
        <v>380</v>
      </c>
      <c r="E172" s="69" t="n">
        <v>10</v>
      </c>
      <c r="F172" s="69">
        <f>ROUND(C172*E172/100,0)</f>
        <v/>
      </c>
      <c r="G172" s="69">
        <f>ROUND(D172*E172/100,0)</f>
        <v/>
      </c>
      <c r="H172" s="68" t="inlineStr">
        <is>
          <t>碳水化合物(100g)、糖(100g)</t>
        </is>
      </c>
      <c r="I172" s="68" t="inlineStr">
        <is>
          <t>无其他营养</t>
        </is>
      </c>
      <c r="J172" s="68" t="inlineStr">
        <is>
          <t>纯热量食物</t>
        </is>
      </c>
    </row>
    <row r="173">
      <c r="A173" s="68" t="inlineStr">
        <is>
          <t>红糖</t>
        </is>
      </c>
      <c r="B173" s="68" t="inlineStr">
        <is>
          <t>调味料</t>
        </is>
      </c>
      <c r="C173" s="69" t="n">
        <v>1506</v>
      </c>
      <c r="D173" s="69" t="n">
        <v>360</v>
      </c>
      <c r="E173" s="69" t="n">
        <v>10</v>
      </c>
      <c r="F173" s="69">
        <f>ROUND(C173*E173/100,0)</f>
        <v/>
      </c>
      <c r="G173" s="69">
        <f>ROUND(D173*E173/100,0)</f>
        <v/>
      </c>
      <c r="H173" s="68" t="inlineStr">
        <is>
          <t>碳水化合物(97g)、铁(2.2mg)</t>
        </is>
      </c>
      <c r="I173" s="68" t="inlineStr">
        <is>
          <t>钙(157mg)、钾</t>
        </is>
      </c>
      <c r="J173" s="68" t="inlineStr">
        <is>
          <t>比白糖矿物质略多</t>
        </is>
      </c>
    </row>
    <row r="174">
      <c r="A174" s="68" t="inlineStr">
        <is>
          <t>蜂蜜</t>
        </is>
      </c>
      <c r="B174" s="68" t="inlineStr">
        <is>
          <t>调味料</t>
        </is>
      </c>
      <c r="C174" s="69" t="n">
        <v>1255</v>
      </c>
      <c r="D174" s="69" t="n">
        <v>300</v>
      </c>
      <c r="E174" s="69" t="n">
        <v>21</v>
      </c>
      <c r="F174" s="69">
        <f>ROUND(C174*E174/100,0)</f>
        <v/>
      </c>
      <c r="G174" s="69">
        <f>ROUND(D174*E174/100,0)</f>
        <v/>
      </c>
      <c r="H174" s="68" t="inlineStr">
        <is>
          <t>碳水化合物(82g)、果糖(38%)、葡萄糖(31%)</t>
        </is>
      </c>
      <c r="I174" s="68" t="inlineStr">
        <is>
          <t>微量矿物质、酶类</t>
        </is>
      </c>
      <c r="J174" s="68" t="inlineStr">
        <is>
          <t>1岁以下婴儿禁用（肉毒杆菌）</t>
        </is>
      </c>
    </row>
    <row r="175">
      <c r="A175" s="68" t="inlineStr">
        <is>
          <t>醋</t>
        </is>
      </c>
      <c r="B175" s="68" t="inlineStr">
        <is>
          <t>调味料</t>
        </is>
      </c>
      <c r="C175" s="69" t="n">
        <v>84</v>
      </c>
      <c r="D175" s="69" t="n">
        <v>20</v>
      </c>
      <c r="E175" s="69" t="n">
        <v>15</v>
      </c>
      <c r="F175" s="69">
        <f>ROUND(C175*E175/100,0)</f>
        <v/>
      </c>
      <c r="G175" s="69">
        <f>ROUND(D175*E175/100,0)</f>
        <v/>
      </c>
      <c r="H175" s="68" t="inlineStr">
        <is>
          <t>醋酸(助消化)、有机酸</t>
        </is>
      </c>
      <c r="I175" s="68" t="inlineStr">
        <is>
          <t>极少热量</t>
        </is>
      </c>
      <c r="J175" s="68" t="inlineStr">
        <is>
          <t>陈醋营养略优于白醋</t>
        </is>
      </c>
    </row>
    <row r="176">
      <c r="A176" s="68" t="inlineStr">
        <is>
          <t>豆瓣酱</t>
        </is>
      </c>
      <c r="B176" s="68" t="inlineStr">
        <is>
          <t>调味料</t>
        </is>
      </c>
      <c r="C176" s="69" t="n">
        <v>502</v>
      </c>
      <c r="D176" s="69" t="n">
        <v>120</v>
      </c>
      <c r="E176" s="69" t="n">
        <v>10</v>
      </c>
      <c r="F176" s="69">
        <f>ROUND(C176*E176/100,0)</f>
        <v/>
      </c>
      <c r="G176" s="69">
        <f>ROUND(D176*E176/100,0)</f>
        <v/>
      </c>
      <c r="H176" s="68" t="inlineStr">
        <is>
          <t>蛋白质(7g)、钠(极高,7000mg/100g)</t>
        </is>
      </c>
      <c r="I176" s="68" t="inlineStr">
        <is>
          <t>辣椒素、多种氨基酸</t>
        </is>
      </c>
      <c r="J176" s="68" t="inlineStr">
        <is>
          <t>烹饪用量小但钠贡献大</t>
        </is>
      </c>
    </row>
    <row r="177">
      <c r="A177" s="68" t="inlineStr">
        <is>
          <t>番茄酱</t>
        </is>
      </c>
      <c r="B177" s="68" t="inlineStr">
        <is>
          <t>调味料</t>
        </is>
      </c>
      <c r="C177" s="69" t="n">
        <v>418</v>
      </c>
      <c r="D177" s="69" t="n">
        <v>100</v>
      </c>
      <c r="E177" s="69" t="n">
        <v>30</v>
      </c>
      <c r="F177" s="69">
        <f>ROUND(C177*E177/100,0)</f>
        <v/>
      </c>
      <c r="G177" s="69">
        <f>ROUND(D177*E177/100,0)</f>
        <v/>
      </c>
      <c r="H177" s="68" t="inlineStr">
        <is>
          <t>番茄红素(高)、碳水化合物(23g)</t>
        </is>
      </c>
      <c r="I177" s="68" t="inlineStr">
        <is>
          <t>维生素C、钾</t>
        </is>
      </c>
      <c r="J177" s="68" t="inlineStr">
        <is>
          <t>加热处理番茄红素更易吸收</t>
        </is>
      </c>
    </row>
    <row r="178">
      <c r="A178" s="68" t="inlineStr">
        <is>
          <t>沙拉酱（蛋黄酱）</t>
        </is>
      </c>
      <c r="B178" s="68" t="inlineStr">
        <is>
          <t>调味料</t>
        </is>
      </c>
      <c r="C178" s="69" t="n">
        <v>2929</v>
      </c>
      <c r="D178" s="69" t="n">
        <v>700</v>
      </c>
      <c r="E178" s="69" t="n">
        <v>15</v>
      </c>
      <c r="F178" s="69">
        <f>ROUND(C178*E178/100,0)</f>
        <v/>
      </c>
      <c r="G178" s="69">
        <f>ROUND(D178*E178/100,0)</f>
        <v/>
      </c>
      <c r="H178" s="68" t="inlineStr">
        <is>
          <t>脂肪(78g)、碳水化合物(4g)</t>
        </is>
      </c>
      <c r="I178" s="68" t="inlineStr">
        <is>
          <t>维生素E</t>
        </is>
      </c>
      <c r="J178" s="68" t="inlineStr">
        <is>
          <t>热量极高，15g约105kcal</t>
        </is>
      </c>
    </row>
    <row r="179">
      <c r="A179" s="68" t="inlineStr">
        <is>
          <t>辣椒油</t>
        </is>
      </c>
      <c r="B179" s="68" t="inlineStr">
        <is>
          <t>调味料</t>
        </is>
      </c>
      <c r="C179" s="69" t="n">
        <v>3699</v>
      </c>
      <c r="D179" s="69" t="n">
        <v>884</v>
      </c>
      <c r="E179" s="69" t="n">
        <v>5</v>
      </c>
      <c r="F179" s="69">
        <f>ROUND(C179*E179/100,0)</f>
        <v/>
      </c>
      <c r="G179" s="69">
        <f>ROUND(D179*E179/100,0)</f>
        <v/>
      </c>
      <c r="H179" s="68" t="inlineStr">
        <is>
          <t>脂肪(100g)、辣椒素</t>
        </is>
      </c>
      <c r="I179" s="68" t="inlineStr">
        <is>
          <t>维生素E</t>
        </is>
      </c>
      <c r="J179" s="68" t="inlineStr">
        <is>
          <t>纯油脂，少量使用</t>
        </is>
      </c>
    </row>
    <row r="180">
      <c r="A180" s="68" t="inlineStr">
        <is>
          <t>芝麻酱</t>
        </is>
      </c>
      <c r="B180" s="68" t="inlineStr">
        <is>
          <t>调味料</t>
        </is>
      </c>
      <c r="C180" s="69" t="n">
        <v>2510</v>
      </c>
      <c r="D180" s="69" t="n">
        <v>600</v>
      </c>
      <c r="E180" s="69" t="n">
        <v>15</v>
      </c>
      <c r="F180" s="69">
        <f>ROUND(C180*E180/100,0)</f>
        <v/>
      </c>
      <c r="G180" s="69">
        <f>ROUND(D180*E180/100,0)</f>
        <v/>
      </c>
      <c r="H180" s="68" t="inlineStr">
        <is>
          <t>脂肪(55g)、钙(1170mg,极高)</t>
        </is>
      </c>
      <c r="I180" s="68" t="inlineStr">
        <is>
          <t>蛋白质(20g)、铁(16mg)</t>
        </is>
      </c>
      <c r="J180" s="68" t="inlineStr">
        <is>
          <t>钙和铁含量高，热量也高</t>
        </is>
      </c>
    </row>
    <row r="181">
      <c r="A181" s="68" t="inlineStr">
        <is>
          <t>鱼露</t>
        </is>
      </c>
      <c r="B181" s="68" t="inlineStr">
        <is>
          <t>调味料</t>
        </is>
      </c>
      <c r="C181" s="69" t="n">
        <v>84</v>
      </c>
      <c r="D181" s="69" t="n">
        <v>20</v>
      </c>
      <c r="E181" s="69" t="n">
        <v>10</v>
      </c>
      <c r="F181" s="69">
        <f>ROUND(C181*E181/100,0)</f>
        <v/>
      </c>
      <c r="G181" s="69">
        <f>ROUND(D181*E181/100,0)</f>
        <v/>
      </c>
      <c r="H181" s="68" t="inlineStr">
        <is>
          <t>钠(极高,6000mg/100g)、谷氨酸</t>
        </is>
      </c>
      <c r="I181" s="68" t="inlineStr">
        <is>
          <t>氨基酸</t>
        </is>
      </c>
      <c r="J181" s="68" t="inlineStr">
        <is>
          <t>鲜味剂，钠含量极高</t>
        </is>
      </c>
    </row>
    <row r="182">
      <c r="A182" s="68" t="inlineStr">
        <is>
          <t>蚝油</t>
        </is>
      </c>
      <c r="B182" s="68" t="inlineStr">
        <is>
          <t>调味料</t>
        </is>
      </c>
      <c r="C182" s="69" t="n">
        <v>251</v>
      </c>
      <c r="D182" s="69" t="n">
        <v>60</v>
      </c>
      <c r="E182" s="69" t="n">
        <v>15</v>
      </c>
      <c r="F182" s="69">
        <f>ROUND(C182*E182/100,0)</f>
        <v/>
      </c>
      <c r="G182" s="69">
        <f>ROUND(D182*E182/100,0)</f>
        <v/>
      </c>
      <c r="H182" s="68" t="inlineStr">
        <is>
          <t>钠(高,2000mg/100g)、谷氨酸</t>
        </is>
      </c>
      <c r="I182" s="68" t="inlineStr">
        <is>
          <t>碳水化合物(9g)</t>
        </is>
      </c>
      <c r="J182" s="68" t="inlineStr">
        <is>
          <t>提鲜增味，控制用量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 ht="26" customHeight="1">
      <c r="A1" s="70" t="inlineStr">
        <is>
          <t>每日营养需求参考表  |  数据基于中国居民膳食参考摄入量(DRIs 2023)及WHO指南</t>
        </is>
      </c>
    </row>
    <row r="2" ht="18" customHeight="1">
      <c r="A2" s="71" t="inlineStr">
        <is>
          <t>注：以下数据为一般健康成人参考值，个体差异较大。疾病、孕期、哺乳期等特殊状态请咨询医生或营养师。</t>
        </is>
      </c>
    </row>
    <row r="3" ht="26" customHeight="1">
      <c r="A3" s="72" t="inlineStr">
        <is>
          <t>一、按体重与活动量估算每日热量需求（kcal）</t>
        </is>
      </c>
    </row>
    <row r="4" ht="30" customHeight="1">
      <c r="A4" s="36" t="inlineStr">
        <is>
          <t>体重(kg)</t>
        </is>
      </c>
      <c r="B4" s="36" t="inlineStr">
        <is>
          <t>BMI参考</t>
        </is>
      </c>
      <c r="C4" s="36" t="inlineStr">
        <is>
          <t>久卧/卧床
(系数×1.2)</t>
        </is>
      </c>
      <c r="D4" s="36" t="inlineStr">
        <is>
          <t>久坐/轻度
(系数×1.375)</t>
        </is>
      </c>
      <c r="E4" s="36" t="inlineStr">
        <is>
          <t>少量运动
(每周1-3天,×1.55)</t>
        </is>
      </c>
      <c r="F4" s="36" t="inlineStr">
        <is>
          <t>中等运动
(每周3-5天,×1.725)</t>
        </is>
      </c>
      <c r="G4" s="36" t="inlineStr">
        <is>
          <t>大量运动
(每周6-7天/体力劳动,×1.9)</t>
        </is>
      </c>
      <c r="H4" s="36" t="inlineStr">
        <is>
          <t>说明</t>
        </is>
      </c>
      <c r="I4" s="73" t="n"/>
      <c r="J4" s="73" t="n"/>
      <c r="K4" s="73" t="n"/>
      <c r="L4" s="74" t="n"/>
    </row>
    <row r="5" ht="20" customHeight="1">
      <c r="A5" s="75" t="inlineStr">
        <is>
          <t>▸ 男性参考（身高参考 170cm，年龄 30 岁）</t>
        </is>
      </c>
    </row>
    <row r="6" ht="22" customHeight="1">
      <c r="A6" s="4" t="inlineStr">
        <is>
          <t>45kg</t>
        </is>
      </c>
      <c r="B6" s="4" t="inlineStr">
        <is>
          <t>15.6（偏瘦）</t>
        </is>
      </c>
      <c r="C6" s="4" t="inlineStr">
        <is>
          <t>1641kcal</t>
        </is>
      </c>
      <c r="D6" s="4" t="inlineStr">
        <is>
          <t>1880kcal</t>
        </is>
      </c>
      <c r="E6" s="4" t="inlineStr">
        <is>
          <t>2120kcal</t>
        </is>
      </c>
      <c r="F6" s="4" t="inlineStr">
        <is>
          <t>2359kcal</t>
        </is>
      </c>
      <c r="G6" s="4" t="inlineStr">
        <is>
          <t>2598kcal</t>
        </is>
      </c>
      <c r="H6" s="2" t="inlineStr"/>
      <c r="I6" s="73" t="n"/>
      <c r="J6" s="73" t="n"/>
      <c r="K6" s="73" t="n"/>
      <c r="L6" s="74" t="n"/>
    </row>
    <row r="7" ht="22" customHeight="1">
      <c r="A7" s="4" t="inlineStr">
        <is>
          <t>50kg</t>
        </is>
      </c>
      <c r="B7" s="4" t="inlineStr">
        <is>
          <t>17.3（偏瘦）</t>
        </is>
      </c>
      <c r="C7" s="4" t="inlineStr">
        <is>
          <t>1701kcal</t>
        </is>
      </c>
      <c r="D7" s="4" t="inlineStr">
        <is>
          <t>1949kcal</t>
        </is>
      </c>
      <c r="E7" s="4" t="inlineStr">
        <is>
          <t>2197kcal</t>
        </is>
      </c>
      <c r="F7" s="4" t="inlineStr">
        <is>
          <t>2445kcal</t>
        </is>
      </c>
      <c r="G7" s="4" t="inlineStr">
        <is>
          <t>2693kcal</t>
        </is>
      </c>
      <c r="H7" s="2" t="inlineStr"/>
      <c r="I7" s="73" t="n"/>
      <c r="J7" s="73" t="n"/>
      <c r="K7" s="73" t="n"/>
      <c r="L7" s="74" t="n"/>
    </row>
    <row r="8" ht="22" customHeight="1">
      <c r="A8" s="4" t="inlineStr">
        <is>
          <t>55kg</t>
        </is>
      </c>
      <c r="B8" s="4" t="inlineStr">
        <is>
          <t>19.0（正常）</t>
        </is>
      </c>
      <c r="C8" s="4" t="inlineStr">
        <is>
          <t>1761kcal</t>
        </is>
      </c>
      <c r="D8" s="4" t="inlineStr">
        <is>
          <t>2018kcal</t>
        </is>
      </c>
      <c r="E8" s="4" t="inlineStr">
        <is>
          <t>2275kcal</t>
        </is>
      </c>
      <c r="F8" s="4" t="inlineStr">
        <is>
          <t>2531kcal</t>
        </is>
      </c>
      <c r="G8" s="4" t="inlineStr">
        <is>
          <t>2788kcal</t>
        </is>
      </c>
      <c r="H8" s="2" t="inlineStr"/>
      <c r="I8" s="73" t="n"/>
      <c r="J8" s="73" t="n"/>
      <c r="K8" s="73" t="n"/>
      <c r="L8" s="74" t="n"/>
    </row>
    <row r="9" ht="22" customHeight="1">
      <c r="A9" s="4" t="inlineStr">
        <is>
          <t>60kg</t>
        </is>
      </c>
      <c r="B9" s="4" t="inlineStr">
        <is>
          <t>20.8（正常）</t>
        </is>
      </c>
      <c r="C9" s="4" t="inlineStr">
        <is>
          <t>1821kcal</t>
        </is>
      </c>
      <c r="D9" s="4" t="inlineStr">
        <is>
          <t>2087kcal</t>
        </is>
      </c>
      <c r="E9" s="4" t="inlineStr">
        <is>
          <t>2352kcal</t>
        </is>
      </c>
      <c r="F9" s="4" t="inlineStr">
        <is>
          <t>2618kcal</t>
        </is>
      </c>
      <c r="G9" s="4" t="inlineStr">
        <is>
          <t>2883kcal</t>
        </is>
      </c>
      <c r="H9" s="2" t="inlineStr"/>
      <c r="I9" s="73" t="n"/>
      <c r="J9" s="73" t="n"/>
      <c r="K9" s="73" t="n"/>
      <c r="L9" s="74" t="n"/>
    </row>
    <row r="10" ht="22" customHeight="1">
      <c r="A10" s="4" t="inlineStr">
        <is>
          <t>65kg</t>
        </is>
      </c>
      <c r="B10" s="4" t="inlineStr">
        <is>
          <t>22.5（正常）</t>
        </is>
      </c>
      <c r="C10" s="4" t="inlineStr">
        <is>
          <t>1881kcal</t>
        </is>
      </c>
      <c r="D10" s="4" t="inlineStr">
        <is>
          <t>2155kcal</t>
        </is>
      </c>
      <c r="E10" s="4" t="inlineStr">
        <is>
          <t>2430kcal</t>
        </is>
      </c>
      <c r="F10" s="4" t="inlineStr">
        <is>
          <t>2704kcal</t>
        </is>
      </c>
      <c r="G10" s="4" t="inlineStr">
        <is>
          <t>2978kcal</t>
        </is>
      </c>
      <c r="H10" s="2" t="inlineStr"/>
      <c r="I10" s="73" t="n"/>
      <c r="J10" s="73" t="n"/>
      <c r="K10" s="73" t="n"/>
      <c r="L10" s="74" t="n"/>
    </row>
    <row r="11" ht="22" customHeight="1">
      <c r="A11" s="4" t="inlineStr">
        <is>
          <t>70kg</t>
        </is>
      </c>
      <c r="B11" s="4" t="inlineStr">
        <is>
          <t>24.2（偏胖）</t>
        </is>
      </c>
      <c r="C11" s="4" t="inlineStr">
        <is>
          <t>1941kcal</t>
        </is>
      </c>
      <c r="D11" s="4" t="inlineStr">
        <is>
          <t>2224kcal</t>
        </is>
      </c>
      <c r="E11" s="4" t="inlineStr">
        <is>
          <t>2507kcal</t>
        </is>
      </c>
      <c r="F11" s="4" t="inlineStr">
        <is>
          <t>2790kcal</t>
        </is>
      </c>
      <c r="G11" s="4" t="inlineStr">
        <is>
          <t>3073kcal</t>
        </is>
      </c>
      <c r="H11" s="2" t="inlineStr"/>
      <c r="I11" s="73" t="n"/>
      <c r="J11" s="73" t="n"/>
      <c r="K11" s="73" t="n"/>
      <c r="L11" s="74" t="n"/>
    </row>
    <row r="12" ht="22" customHeight="1">
      <c r="A12" s="4" t="inlineStr">
        <is>
          <t>75kg</t>
        </is>
      </c>
      <c r="B12" s="4" t="inlineStr">
        <is>
          <t>26.0（偏胖）</t>
        </is>
      </c>
      <c r="C12" s="4" t="inlineStr">
        <is>
          <t>2001kcal</t>
        </is>
      </c>
      <c r="D12" s="4" t="inlineStr">
        <is>
          <t>2293kcal</t>
        </is>
      </c>
      <c r="E12" s="4" t="inlineStr">
        <is>
          <t>2585kcal</t>
        </is>
      </c>
      <c r="F12" s="4" t="inlineStr">
        <is>
          <t>2876kcal</t>
        </is>
      </c>
      <c r="G12" s="4" t="inlineStr">
        <is>
          <t>3168kcal</t>
        </is>
      </c>
      <c r="H12" s="2" t="inlineStr"/>
      <c r="I12" s="73" t="n"/>
      <c r="J12" s="73" t="n"/>
      <c r="K12" s="73" t="n"/>
      <c r="L12" s="74" t="n"/>
    </row>
    <row r="13" ht="22" customHeight="1">
      <c r="A13" s="4" t="inlineStr">
        <is>
          <t>80kg</t>
        </is>
      </c>
      <c r="B13" s="4" t="inlineStr">
        <is>
          <t>27.7（偏胖）</t>
        </is>
      </c>
      <c r="C13" s="4" t="inlineStr">
        <is>
          <t>2061kcal</t>
        </is>
      </c>
      <c r="D13" s="4" t="inlineStr">
        <is>
          <t>2362kcal</t>
        </is>
      </c>
      <c r="E13" s="4" t="inlineStr">
        <is>
          <t>2662kcal</t>
        </is>
      </c>
      <c r="F13" s="4" t="inlineStr">
        <is>
          <t>2963kcal</t>
        </is>
      </c>
      <c r="G13" s="4" t="inlineStr">
        <is>
          <t>3263kcal</t>
        </is>
      </c>
      <c r="H13" s="2" t="inlineStr"/>
      <c r="I13" s="73" t="n"/>
      <c r="J13" s="73" t="n"/>
      <c r="K13" s="73" t="n"/>
      <c r="L13" s="74" t="n"/>
    </row>
    <row r="14" ht="22" customHeight="1">
      <c r="A14" s="4" t="inlineStr">
        <is>
          <t>90kg</t>
        </is>
      </c>
      <c r="B14" s="4" t="inlineStr">
        <is>
          <t>31.1（肥胖）</t>
        </is>
      </c>
      <c r="C14" s="4" t="inlineStr">
        <is>
          <t>2181kcal</t>
        </is>
      </c>
      <c r="D14" s="4" t="inlineStr">
        <is>
          <t>2499kcal</t>
        </is>
      </c>
      <c r="E14" s="4" t="inlineStr">
        <is>
          <t>2817kcal</t>
        </is>
      </c>
      <c r="F14" s="4" t="inlineStr">
        <is>
          <t>3135kcal</t>
        </is>
      </c>
      <c r="G14" s="4" t="inlineStr">
        <is>
          <t>3453kcal</t>
        </is>
      </c>
      <c r="H14" s="2" t="inlineStr"/>
      <c r="I14" s="73" t="n"/>
      <c r="J14" s="73" t="n"/>
      <c r="K14" s="73" t="n"/>
      <c r="L14" s="74" t="n"/>
    </row>
    <row r="15" ht="22" customHeight="1">
      <c r="A15" s="4" t="inlineStr">
        <is>
          <t>100kg</t>
        </is>
      </c>
      <c r="B15" s="4" t="inlineStr">
        <is>
          <t>34.6（肥胖）</t>
        </is>
      </c>
      <c r="C15" s="4" t="inlineStr">
        <is>
          <t>2301kcal</t>
        </is>
      </c>
      <c r="D15" s="4" t="inlineStr">
        <is>
          <t>2637kcal</t>
        </is>
      </c>
      <c r="E15" s="4" t="inlineStr">
        <is>
          <t>2972kcal</t>
        </is>
      </c>
      <c r="F15" s="4" t="inlineStr">
        <is>
          <t>3308kcal</t>
        </is>
      </c>
      <c r="G15" s="4" t="inlineStr">
        <is>
          <t>3643kcal</t>
        </is>
      </c>
      <c r="H15" s="2" t="inlineStr"/>
      <c r="I15" s="73" t="n"/>
      <c r="J15" s="73" t="n"/>
      <c r="K15" s="73" t="n"/>
      <c r="L15" s="74" t="n"/>
    </row>
    <row r="16" ht="20" customHeight="1">
      <c r="A16" s="76" t="inlineStr">
        <is>
          <t>▸ 女性参考（身高参考 160cm，年龄 30 岁）</t>
        </is>
      </c>
    </row>
    <row r="17" ht="22" customHeight="1">
      <c r="A17" s="16" t="inlineStr">
        <is>
          <t>45kg</t>
        </is>
      </c>
      <c r="B17" s="16" t="inlineStr">
        <is>
          <t>17.6（偏瘦）</t>
        </is>
      </c>
      <c r="C17" s="16" t="inlineStr">
        <is>
          <t>1367kcal</t>
        </is>
      </c>
      <c r="D17" s="16" t="inlineStr">
        <is>
          <t>1566kcal</t>
        </is>
      </c>
      <c r="E17" s="16" t="inlineStr">
        <is>
          <t>1765kcal</t>
        </is>
      </c>
      <c r="F17" s="16" t="inlineStr">
        <is>
          <t>1965kcal</t>
        </is>
      </c>
      <c r="G17" s="16" t="inlineStr">
        <is>
          <t>2164kcal</t>
        </is>
      </c>
      <c r="H17" s="15" t="inlineStr"/>
      <c r="I17" s="73" t="n"/>
      <c r="J17" s="73" t="n"/>
      <c r="K17" s="73" t="n"/>
      <c r="L17" s="74" t="n"/>
    </row>
    <row r="18" ht="22" customHeight="1">
      <c r="A18" s="16" t="inlineStr">
        <is>
          <t>50kg</t>
        </is>
      </c>
      <c r="B18" s="16" t="inlineStr">
        <is>
          <t>19.5（正常）</t>
        </is>
      </c>
      <c r="C18" s="16" t="inlineStr">
        <is>
          <t>1427kcal</t>
        </is>
      </c>
      <c r="D18" s="16" t="inlineStr">
        <is>
          <t>1635kcal</t>
        </is>
      </c>
      <c r="E18" s="16" t="inlineStr">
        <is>
          <t>1843kcal</t>
        </is>
      </c>
      <c r="F18" s="16" t="inlineStr">
        <is>
          <t>2051kcal</t>
        </is>
      </c>
      <c r="G18" s="16" t="inlineStr">
        <is>
          <t>2259kcal</t>
        </is>
      </c>
      <c r="H18" s="15" t="inlineStr"/>
      <c r="I18" s="73" t="n"/>
      <c r="J18" s="73" t="n"/>
      <c r="K18" s="73" t="n"/>
      <c r="L18" s="74" t="n"/>
    </row>
    <row r="19" ht="22" customHeight="1">
      <c r="A19" s="16" t="inlineStr">
        <is>
          <t>55kg</t>
        </is>
      </c>
      <c r="B19" s="16" t="inlineStr">
        <is>
          <t>21.5（正常）</t>
        </is>
      </c>
      <c r="C19" s="16" t="inlineStr">
        <is>
          <t>1487kcal</t>
        </is>
      </c>
      <c r="D19" s="16" t="inlineStr">
        <is>
          <t>1704kcal</t>
        </is>
      </c>
      <c r="E19" s="16" t="inlineStr">
        <is>
          <t>1920kcal</t>
        </is>
      </c>
      <c r="F19" s="16" t="inlineStr">
        <is>
          <t>2137kcal</t>
        </is>
      </c>
      <c r="G19" s="16" t="inlineStr">
        <is>
          <t>2354kcal</t>
        </is>
      </c>
      <c r="H19" s="15" t="inlineStr"/>
      <c r="I19" s="73" t="n"/>
      <c r="J19" s="73" t="n"/>
      <c r="K19" s="73" t="n"/>
      <c r="L19" s="74" t="n"/>
    </row>
    <row r="20" ht="22" customHeight="1">
      <c r="A20" s="16" t="inlineStr">
        <is>
          <t>60kg</t>
        </is>
      </c>
      <c r="B20" s="16" t="inlineStr">
        <is>
          <t>23.4（正常）</t>
        </is>
      </c>
      <c r="C20" s="16" t="inlineStr">
        <is>
          <t>1547kcal</t>
        </is>
      </c>
      <c r="D20" s="16" t="inlineStr">
        <is>
          <t>1772kcal</t>
        </is>
      </c>
      <c r="E20" s="16" t="inlineStr">
        <is>
          <t>1998kcal</t>
        </is>
      </c>
      <c r="F20" s="16" t="inlineStr">
        <is>
          <t>2224kcal</t>
        </is>
      </c>
      <c r="G20" s="16" t="inlineStr">
        <is>
          <t>2449kcal</t>
        </is>
      </c>
      <c r="H20" s="15" t="inlineStr"/>
      <c r="I20" s="73" t="n"/>
      <c r="J20" s="73" t="n"/>
      <c r="K20" s="73" t="n"/>
      <c r="L20" s="74" t="n"/>
    </row>
    <row r="21" ht="22" customHeight="1">
      <c r="A21" s="16" t="inlineStr">
        <is>
          <t>65kg</t>
        </is>
      </c>
      <c r="B21" s="16" t="inlineStr">
        <is>
          <t>25.4（偏胖）</t>
        </is>
      </c>
      <c r="C21" s="16" t="inlineStr">
        <is>
          <t>1607kcal</t>
        </is>
      </c>
      <c r="D21" s="16" t="inlineStr">
        <is>
          <t>1841kcal</t>
        </is>
      </c>
      <c r="E21" s="16" t="inlineStr">
        <is>
          <t>2075kcal</t>
        </is>
      </c>
      <c r="F21" s="16" t="inlineStr">
        <is>
          <t>2310kcal</t>
        </is>
      </c>
      <c r="G21" s="16" t="inlineStr">
        <is>
          <t>2544kcal</t>
        </is>
      </c>
      <c r="H21" s="15" t="inlineStr"/>
      <c r="I21" s="73" t="n"/>
      <c r="J21" s="73" t="n"/>
      <c r="K21" s="73" t="n"/>
      <c r="L21" s="74" t="n"/>
    </row>
    <row r="22" ht="22" customHeight="1">
      <c r="A22" s="16" t="inlineStr">
        <is>
          <t>70kg</t>
        </is>
      </c>
      <c r="B22" s="16" t="inlineStr">
        <is>
          <t>27.3（偏胖）</t>
        </is>
      </c>
      <c r="C22" s="16" t="inlineStr">
        <is>
          <t>1667kcal</t>
        </is>
      </c>
      <c r="D22" s="16" t="inlineStr">
        <is>
          <t>1910kcal</t>
        </is>
      </c>
      <c r="E22" s="16" t="inlineStr">
        <is>
          <t>2153kcal</t>
        </is>
      </c>
      <c r="F22" s="16" t="inlineStr">
        <is>
          <t>2396kcal</t>
        </is>
      </c>
      <c r="G22" s="16" t="inlineStr">
        <is>
          <t>2639kcal</t>
        </is>
      </c>
      <c r="H22" s="15" t="inlineStr"/>
      <c r="I22" s="73" t="n"/>
      <c r="J22" s="73" t="n"/>
      <c r="K22" s="73" t="n"/>
      <c r="L22" s="74" t="n"/>
    </row>
    <row r="23" ht="22" customHeight="1">
      <c r="A23" s="16" t="inlineStr">
        <is>
          <t>75kg</t>
        </is>
      </c>
      <c r="B23" s="16" t="inlineStr">
        <is>
          <t>29.3（肥胖）</t>
        </is>
      </c>
      <c r="C23" s="16" t="inlineStr">
        <is>
          <t>1727kcal</t>
        </is>
      </c>
      <c r="D23" s="16" t="inlineStr">
        <is>
          <t>1979kcal</t>
        </is>
      </c>
      <c r="E23" s="16" t="inlineStr">
        <is>
          <t>2230kcal</t>
        </is>
      </c>
      <c r="F23" s="16" t="inlineStr">
        <is>
          <t>2482kcal</t>
        </is>
      </c>
      <c r="G23" s="16" t="inlineStr">
        <is>
          <t>2734kcal</t>
        </is>
      </c>
      <c r="H23" s="15" t="inlineStr"/>
      <c r="I23" s="73" t="n"/>
      <c r="J23" s="73" t="n"/>
      <c r="K23" s="73" t="n"/>
      <c r="L23" s="74" t="n"/>
    </row>
    <row r="24" ht="22" customHeight="1">
      <c r="A24" s="16" t="inlineStr">
        <is>
          <t>80kg</t>
        </is>
      </c>
      <c r="B24" s="16" t="inlineStr">
        <is>
          <t>31.2（肥胖）</t>
        </is>
      </c>
      <c r="C24" s="16" t="inlineStr">
        <is>
          <t>1787kcal</t>
        </is>
      </c>
      <c r="D24" s="16" t="inlineStr">
        <is>
          <t>2047kcal</t>
        </is>
      </c>
      <c r="E24" s="16" t="inlineStr">
        <is>
          <t>2308kcal</t>
        </is>
      </c>
      <c r="F24" s="16" t="inlineStr">
        <is>
          <t>2569kcal</t>
        </is>
      </c>
      <c r="G24" s="16" t="inlineStr">
        <is>
          <t>2829kcal</t>
        </is>
      </c>
      <c r="H24" s="15" t="inlineStr"/>
      <c r="I24" s="73" t="n"/>
      <c r="J24" s="73" t="n"/>
      <c r="K24" s="73" t="n"/>
      <c r="L24" s="74" t="n"/>
    </row>
    <row r="25" ht="22" customHeight="1">
      <c r="A25" s="16" t="inlineStr">
        <is>
          <t>90kg</t>
        </is>
      </c>
      <c r="B25" s="16" t="inlineStr">
        <is>
          <t>35.2（肥胖）</t>
        </is>
      </c>
      <c r="C25" s="16" t="inlineStr">
        <is>
          <t>1907kcal</t>
        </is>
      </c>
      <c r="D25" s="16" t="inlineStr">
        <is>
          <t>2185kcal</t>
        </is>
      </c>
      <c r="E25" s="16" t="inlineStr">
        <is>
          <t>2463kcal</t>
        </is>
      </c>
      <c r="F25" s="16" t="inlineStr">
        <is>
          <t>2741kcal</t>
        </is>
      </c>
      <c r="G25" s="16" t="inlineStr">
        <is>
          <t>3019kcal</t>
        </is>
      </c>
      <c r="H25" s="15" t="inlineStr"/>
      <c r="I25" s="73" t="n"/>
      <c r="J25" s="73" t="n"/>
      <c r="K25" s="73" t="n"/>
      <c r="L25" s="74" t="n"/>
    </row>
    <row r="26" ht="22" customHeight="1">
      <c r="A26" s="16" t="inlineStr">
        <is>
          <t>100kg</t>
        </is>
      </c>
      <c r="B26" s="16" t="inlineStr">
        <is>
          <t>39.1（肥胖）</t>
        </is>
      </c>
      <c r="C26" s="16" t="inlineStr">
        <is>
          <t>2027kcal</t>
        </is>
      </c>
      <c r="D26" s="16" t="inlineStr">
        <is>
          <t>2322kcal</t>
        </is>
      </c>
      <c r="E26" s="16" t="inlineStr">
        <is>
          <t>2618kcal</t>
        </is>
      </c>
      <c r="F26" s="16" t="inlineStr">
        <is>
          <t>2914kcal</t>
        </is>
      </c>
      <c r="G26" s="16" t="inlineStr">
        <is>
          <t>3209kcal</t>
        </is>
      </c>
      <c r="H26" s="15" t="inlineStr"/>
      <c r="I26" s="73" t="n"/>
      <c r="J26" s="73" t="n"/>
      <c r="K26" s="73" t="n"/>
      <c r="L26" s="74" t="n"/>
    </row>
    <row r="28" ht="26" customHeight="1">
      <c r="A28" s="72" t="inlineStr">
        <is>
          <t>二、活动系数说明</t>
        </is>
      </c>
    </row>
    <row r="29" ht="30" customHeight="1">
      <c r="A29" s="36" t="inlineStr">
        <is>
          <t>活动水平</t>
        </is>
      </c>
      <c r="B29" s="36" t="inlineStr">
        <is>
          <t>系数</t>
        </is>
      </c>
      <c r="C29" s="36" t="inlineStr">
        <is>
          <t>典型人群描述</t>
        </is>
      </c>
      <c r="D29" s="36" t="inlineStr">
        <is>
          <t>每日步数参考</t>
        </is>
      </c>
      <c r="E29" s="36" t="inlineStr">
        <is>
          <t>额外说明</t>
        </is>
      </c>
      <c r="F29" s="73" t="n"/>
      <c r="G29" s="73" t="n"/>
      <c r="H29" s="73" t="n"/>
      <c r="I29" s="73" t="n"/>
      <c r="J29" s="73" t="n"/>
      <c r="K29" s="73" t="n"/>
      <c r="L29" s="74" t="n"/>
    </row>
    <row r="30" ht="22" customHeight="1">
      <c r="A30" s="77" t="inlineStr">
        <is>
          <t>久卧/卧床</t>
        </is>
      </c>
      <c r="B30" s="19" t="inlineStr">
        <is>
          <t>×1.2</t>
        </is>
      </c>
      <c r="C30" s="17" t="inlineStr">
        <is>
          <t>长期卧床、重病康复期、极度久坐不动</t>
        </is>
      </c>
      <c r="D30" s="19" t="inlineStr">
        <is>
          <t>&lt;2,000步</t>
        </is>
      </c>
      <c r="E30" s="17" t="inlineStr">
        <is>
          <t>基础代谢+最低活动；肌肉流失风险高</t>
        </is>
      </c>
      <c r="F30" s="73" t="n"/>
      <c r="G30" s="73" t="n"/>
      <c r="H30" s="73" t="n"/>
      <c r="I30" s="73" t="n"/>
      <c r="J30" s="73" t="n"/>
      <c r="K30" s="73" t="n"/>
      <c r="L30" s="74" t="n"/>
    </row>
    <row r="31" ht="22" customHeight="1">
      <c r="A31" s="78" t="inlineStr">
        <is>
          <t>久坐/轻度</t>
        </is>
      </c>
      <c r="B31" s="16" t="inlineStr">
        <is>
          <t>×1.375</t>
        </is>
      </c>
      <c r="C31" s="15" t="inlineStr">
        <is>
          <t>办公室工作、全天坐着、无运动习惯</t>
        </is>
      </c>
      <c r="D31" s="16" t="inlineStr">
        <is>
          <t>2,000-5,000步</t>
        </is>
      </c>
      <c r="E31" s="15" t="inlineStr">
        <is>
          <t>典型白领/学生群体；最常被低估</t>
        </is>
      </c>
      <c r="F31" s="73" t="n"/>
      <c r="G31" s="73" t="n"/>
      <c r="H31" s="73" t="n"/>
      <c r="I31" s="73" t="n"/>
      <c r="J31" s="73" t="n"/>
      <c r="K31" s="73" t="n"/>
      <c r="L31" s="74" t="n"/>
    </row>
    <row r="32" ht="22" customHeight="1">
      <c r="A32" s="79" t="inlineStr">
        <is>
          <t>少量运动</t>
        </is>
      </c>
      <c r="B32" s="7" t="inlineStr">
        <is>
          <t>×1.55</t>
        </is>
      </c>
      <c r="C32" s="5" t="inlineStr">
        <is>
          <t>每周1-3次轻度运动（散步/瑜伽）</t>
        </is>
      </c>
      <c r="D32" s="7" t="inlineStr">
        <is>
          <t>5,000-8,000步</t>
        </is>
      </c>
      <c r="E32" s="5" t="inlineStr">
        <is>
          <t>WHO推荐最低运动量</t>
        </is>
      </c>
      <c r="F32" s="73" t="n"/>
      <c r="G32" s="73" t="n"/>
      <c r="H32" s="73" t="n"/>
      <c r="I32" s="73" t="n"/>
      <c r="J32" s="73" t="n"/>
      <c r="K32" s="73" t="n"/>
      <c r="L32" s="74" t="n"/>
    </row>
    <row r="33" ht="22" customHeight="1">
      <c r="A33" s="80" t="inlineStr">
        <is>
          <t>中等运动</t>
        </is>
      </c>
      <c r="B33" s="4" t="inlineStr">
        <is>
          <t>×1.725</t>
        </is>
      </c>
      <c r="C33" s="2" t="inlineStr">
        <is>
          <t>每周3-5次中等强度（慢跑/游泳）</t>
        </is>
      </c>
      <c r="D33" s="4" t="inlineStr">
        <is>
          <t>8,000-12,000步</t>
        </is>
      </c>
      <c r="E33" s="2" t="inlineStr">
        <is>
          <t>体重管理理想活动水平</t>
        </is>
      </c>
      <c r="F33" s="73" t="n"/>
      <c r="G33" s="73" t="n"/>
      <c r="H33" s="73" t="n"/>
      <c r="I33" s="73" t="n"/>
      <c r="J33" s="73" t="n"/>
      <c r="K33" s="73" t="n"/>
      <c r="L33" s="74" t="n"/>
    </row>
    <row r="34" ht="22" customHeight="1">
      <c r="A34" s="81" t="inlineStr">
        <is>
          <t>大量运动/体力劳动</t>
        </is>
      </c>
      <c r="B34" s="82" t="inlineStr">
        <is>
          <t>×1.9</t>
        </is>
      </c>
      <c r="C34" s="83" t="inlineStr">
        <is>
          <t>每天高强度训练或体力劳动</t>
        </is>
      </c>
      <c r="D34" s="82" t="inlineStr">
        <is>
          <t>&gt;12,000步</t>
        </is>
      </c>
      <c r="E34" s="83" t="inlineStr">
        <is>
          <t>运动员/建筑工人等；需大量补充碳水和蛋白</t>
        </is>
      </c>
      <c r="F34" s="73" t="n"/>
      <c r="G34" s="73" t="n"/>
      <c r="H34" s="73" t="n"/>
      <c r="I34" s="73" t="n"/>
      <c r="J34" s="73" t="n"/>
      <c r="K34" s="73" t="n"/>
      <c r="L34" s="74" t="n"/>
    </row>
    <row r="36" ht="26" customHeight="1">
      <c r="A36" s="72" t="inlineStr">
        <is>
          <t>三、三大营养素每日推荐摄入量</t>
        </is>
      </c>
    </row>
    <row r="37" ht="30" customHeight="1">
      <c r="A37" s="36" t="inlineStr">
        <is>
          <t>营养素</t>
        </is>
      </c>
      <c r="B37" s="36" t="inlineStr">
        <is>
          <t>推荐供能比</t>
        </is>
      </c>
      <c r="C37" s="36" t="inlineStr">
        <is>
          <t>每日推荐量
(以2000kcal为例)</t>
        </is>
      </c>
      <c r="D37" s="36" t="inlineStr">
        <is>
          <t>每克供能</t>
        </is>
      </c>
      <c r="E37" s="36" t="inlineStr">
        <is>
          <t>推荐食物来源</t>
        </is>
      </c>
      <c r="F37" s="36" t="inlineStr">
        <is>
          <t>减脂期建议</t>
        </is>
      </c>
      <c r="G37" s="36" t="inlineStr">
        <is>
          <t>增肌期建议</t>
        </is>
      </c>
      <c r="H37" s="36" t="inlineStr">
        <is>
          <t>备注</t>
        </is>
      </c>
      <c r="I37" s="73" t="n"/>
      <c r="J37" s="73" t="n"/>
      <c r="K37" s="73" t="n"/>
      <c r="L37" s="74" t="n"/>
    </row>
    <row r="38" ht="22" customHeight="1">
      <c r="A38" s="80" t="inlineStr">
        <is>
          <t>碳水化合物</t>
        </is>
      </c>
      <c r="B38" s="4" t="inlineStr">
        <is>
          <t>50-65%</t>
        </is>
      </c>
      <c r="C38" s="4" t="inlineStr">
        <is>
          <t>250-325g</t>
        </is>
      </c>
      <c r="D38" s="4" t="inlineStr">
        <is>
          <t>4kcal/g</t>
        </is>
      </c>
      <c r="E38" s="2" t="inlineStr">
        <is>
          <t>全谷物、薯类、蔬菜、豆类</t>
        </is>
      </c>
      <c r="F38" s="4" t="inlineStr">
        <is>
          <t>降至40-45%，优先复合碳水</t>
        </is>
      </c>
      <c r="G38" s="4" t="inlineStr">
        <is>
          <t>55-60%，以米饭/面条/燕麦为主</t>
        </is>
      </c>
      <c r="H38" s="2" t="inlineStr">
        <is>
          <t>精制糖建议&lt;50g/天（WHO）</t>
        </is>
      </c>
      <c r="I38" s="73" t="n"/>
      <c r="J38" s="73" t="n"/>
      <c r="K38" s="73" t="n"/>
      <c r="L38" s="74" t="n"/>
    </row>
    <row r="39" ht="22" customHeight="1">
      <c r="A39" s="79" t="inlineStr">
        <is>
          <t>蛋白质</t>
        </is>
      </c>
      <c r="B39" s="7" t="inlineStr">
        <is>
          <t>10-20%</t>
        </is>
      </c>
      <c r="C39" s="7" t="inlineStr">
        <is>
          <t>50-100g</t>
        </is>
      </c>
      <c r="D39" s="7" t="inlineStr">
        <is>
          <t>4kcal/g</t>
        </is>
      </c>
      <c r="E39" s="5" t="inlineStr">
        <is>
          <t>鱼、虾、鸡胸肉、蛋、豆腐、牛奶</t>
        </is>
      </c>
      <c r="F39" s="7" t="inlineStr">
        <is>
          <t>提高至1.6-2.2g/kg体重</t>
        </is>
      </c>
      <c r="G39" s="7" t="inlineStr">
        <is>
          <t>1.6-2.2g/kg体重</t>
        </is>
      </c>
      <c r="H39" s="5" t="inlineStr">
        <is>
          <t>老年人需1.0-1.2g/kg；肾病患者需限制</t>
        </is>
      </c>
      <c r="I39" s="73" t="n"/>
      <c r="J39" s="73" t="n"/>
      <c r="K39" s="73" t="n"/>
      <c r="L39" s="74" t="n"/>
    </row>
    <row r="40" ht="22" customHeight="1">
      <c r="A40" s="78" t="inlineStr">
        <is>
          <t>脂肪</t>
        </is>
      </c>
      <c r="B40" s="16" t="inlineStr">
        <is>
          <t>20-30%</t>
        </is>
      </c>
      <c r="C40" s="16" t="inlineStr">
        <is>
          <t>44-67g</t>
        </is>
      </c>
      <c r="D40" s="16" t="inlineStr">
        <is>
          <t>9kcal/g</t>
        </is>
      </c>
      <c r="E40" s="15" t="inlineStr">
        <is>
          <t>橄榄油、坚果、深海鱼、牛油果</t>
        </is>
      </c>
      <c r="F40" s="16" t="inlineStr">
        <is>
          <t>20-25%，减少饱和脂肪</t>
        </is>
      </c>
      <c r="G40" s="16" t="inlineStr">
        <is>
          <t>25-30%，以不饱和脂肪为主</t>
        </is>
      </c>
      <c r="H40" s="15" t="inlineStr">
        <is>
          <t>饱和脂肪&lt;10%总热量；反式脂肪&lt;1%</t>
        </is>
      </c>
      <c r="I40" s="73" t="n"/>
      <c r="J40" s="73" t="n"/>
      <c r="K40" s="73" t="n"/>
      <c r="L40" s="74" t="n"/>
    </row>
    <row r="41" ht="22" customHeight="1">
      <c r="A41" s="84" t="inlineStr">
        <is>
          <t>膳食纤维</t>
        </is>
      </c>
      <c r="B41" s="22" t="inlineStr">
        <is>
          <t>—</t>
        </is>
      </c>
      <c r="C41" s="22" t="inlineStr">
        <is>
          <t>25-30g</t>
        </is>
      </c>
      <c r="D41" s="22" t="inlineStr">
        <is>
          <t>~2kcal/g（不完全）</t>
        </is>
      </c>
      <c r="E41" s="20" t="inlineStr">
        <is>
          <t>蔬菜、水果、全谷物、豆类</t>
        </is>
      </c>
      <c r="F41" s="22" t="inlineStr">
        <is>
          <t>建议25-35g，增加饱腹感</t>
        </is>
      </c>
      <c r="G41" s="22" t="inlineStr">
        <is>
          <t>25-30g，支持肠道健康</t>
        </is>
      </c>
      <c r="H41" s="20" t="inlineStr">
        <is>
          <t>大多数人摄入不足；增加建议循序渐进</t>
        </is>
      </c>
      <c r="I41" s="73" t="n"/>
      <c r="J41" s="73" t="n"/>
      <c r="K41" s="73" t="n"/>
      <c r="L41" s="74" t="n"/>
    </row>
    <row r="43" ht="26" customHeight="1">
      <c r="A43" s="72" t="inlineStr">
        <is>
          <t>四、关键微量营养素每日推荐摄入量（成人）</t>
        </is>
      </c>
    </row>
    <row r="44" ht="30" customHeight="1">
      <c r="A44" s="36" t="inlineStr">
        <is>
          <t>营养素</t>
        </is>
      </c>
      <c r="B44" s="36" t="inlineStr">
        <is>
          <t>男性推荐量</t>
        </is>
      </c>
      <c r="C44" s="36" t="inlineStr">
        <is>
          <t>女性推荐量</t>
        </is>
      </c>
      <c r="D44" s="36" t="inlineStr">
        <is>
          <t>最高可耐受量(UL)</t>
        </is>
      </c>
      <c r="E44" s="36" t="inlineStr">
        <is>
          <t>主要食物来源</t>
        </is>
      </c>
      <c r="F44" s="36" t="inlineStr">
        <is>
          <t>缺乏表现</t>
        </is>
      </c>
      <c r="G44" s="36" t="inlineStr">
        <is>
          <t>补充提示</t>
        </is>
      </c>
      <c r="H44" s="73" t="n"/>
      <c r="I44" s="73" t="n"/>
      <c r="J44" s="73" t="n"/>
      <c r="K44" s="73" t="n"/>
      <c r="L44" s="74" t="n"/>
    </row>
    <row r="45" ht="22" customHeight="1">
      <c r="A45" s="80" t="inlineStr">
        <is>
          <t>维生素A</t>
        </is>
      </c>
      <c r="B45" s="4" t="inlineStr">
        <is>
          <t>800μgRAE</t>
        </is>
      </c>
      <c r="C45" s="4" t="inlineStr">
        <is>
          <t>700μgRAE</t>
        </is>
      </c>
      <c r="D45" s="4" t="inlineStr">
        <is>
          <t>3000μgRAE</t>
        </is>
      </c>
      <c r="E45" s="2" t="inlineStr">
        <is>
          <t>猪肝、胡萝卜、菠菜、蛋黄</t>
        </is>
      </c>
      <c r="F45" s="2" t="inlineStr">
        <is>
          <t>夜盲症、皮肤干燥</t>
        </is>
      </c>
      <c r="G45" s="2" t="inlineStr">
        <is>
          <t>肝脏每周不超50g，脂溶性勿过量</t>
        </is>
      </c>
      <c r="H45" s="73" t="n"/>
      <c r="I45" s="73" t="n"/>
      <c r="J45" s="73" t="n"/>
      <c r="K45" s="73" t="n"/>
      <c r="L45" s="74" t="n"/>
    </row>
    <row r="46" ht="22" customHeight="1">
      <c r="A46" s="78" t="inlineStr">
        <is>
          <t>维生素D</t>
        </is>
      </c>
      <c r="B46" s="16" t="inlineStr">
        <is>
          <t>600IU(15μg)</t>
        </is>
      </c>
      <c r="C46" s="16" t="inlineStr">
        <is>
          <t>600IU(15μg)</t>
        </is>
      </c>
      <c r="D46" s="16" t="inlineStr">
        <is>
          <t>4000IU</t>
        </is>
      </c>
      <c r="E46" s="15" t="inlineStr">
        <is>
          <t>三文鱼、蛋黄、日晒（皮肤合成）</t>
        </is>
      </c>
      <c r="F46" s="15" t="inlineStr">
        <is>
          <t>佝偻病、骨质疏松、免疫下降</t>
        </is>
      </c>
      <c r="G46" s="15" t="inlineStr">
        <is>
          <t>城市人群普遍不足，建议检测后补充</t>
        </is>
      </c>
      <c r="H46" s="73" t="n"/>
      <c r="I46" s="73" t="n"/>
      <c r="J46" s="73" t="n"/>
      <c r="K46" s="73" t="n"/>
      <c r="L46" s="74" t="n"/>
    </row>
    <row r="47" ht="22" customHeight="1">
      <c r="A47" s="79" t="inlineStr">
        <is>
          <t>维生素C</t>
        </is>
      </c>
      <c r="B47" s="7" t="inlineStr">
        <is>
          <t>100mg</t>
        </is>
      </c>
      <c r="C47" s="7" t="inlineStr">
        <is>
          <t>100mg</t>
        </is>
      </c>
      <c r="D47" s="7" t="inlineStr">
        <is>
          <t>2000mg</t>
        </is>
      </c>
      <c r="E47" s="5" t="inlineStr">
        <is>
          <t>彩椒、猕猴桃、草莓、西兰花</t>
        </is>
      </c>
      <c r="F47" s="5" t="inlineStr">
        <is>
          <t>坏血病、免疫力下降</t>
        </is>
      </c>
      <c r="G47" s="5" t="inlineStr">
        <is>
          <t>烹饪损失大，尽量生食或短时加热</t>
        </is>
      </c>
      <c r="H47" s="73" t="n"/>
      <c r="I47" s="73" t="n"/>
      <c r="J47" s="73" t="n"/>
      <c r="K47" s="73" t="n"/>
      <c r="L47" s="74" t="n"/>
    </row>
    <row r="48" ht="22" customHeight="1">
      <c r="A48" s="84" t="inlineStr">
        <is>
          <t>维生素B12</t>
        </is>
      </c>
      <c r="B48" s="22" t="inlineStr">
        <is>
          <t>2.4μg</t>
        </is>
      </c>
      <c r="C48" s="22" t="inlineStr">
        <is>
          <t>2.4μg</t>
        </is>
      </c>
      <c r="D48" s="22" t="inlineStr">
        <is>
          <t>无明确UL</t>
        </is>
      </c>
      <c r="E48" s="20" t="inlineStr">
        <is>
          <t>动物肝脏、牛肉、蛤蜊、紫菜</t>
        </is>
      </c>
      <c r="F48" s="20" t="inlineStr">
        <is>
          <t>贫血、神经损伤</t>
        </is>
      </c>
      <c r="G48" s="20" t="inlineStr">
        <is>
          <t>纯素食者必须补充，紫菜含量有限</t>
        </is>
      </c>
      <c r="H48" s="73" t="n"/>
      <c r="I48" s="73" t="n"/>
      <c r="J48" s="73" t="n"/>
      <c r="K48" s="73" t="n"/>
      <c r="L48" s="74" t="n"/>
    </row>
    <row r="49" ht="22" customHeight="1">
      <c r="A49" s="85" t="inlineStr">
        <is>
          <t>钙</t>
        </is>
      </c>
      <c r="B49" s="25" t="inlineStr">
        <is>
          <t>800mg</t>
        </is>
      </c>
      <c r="C49" s="25" t="inlineStr">
        <is>
          <t>800mg（50+为1000mg）</t>
        </is>
      </c>
      <c r="D49" s="25" t="inlineStr">
        <is>
          <t>2000mg</t>
        </is>
      </c>
      <c r="E49" s="23" t="inlineStr">
        <is>
          <t>牛奶、豆腐、虾皮、芝麻酱</t>
        </is>
      </c>
      <c r="F49" s="23" t="inlineStr">
        <is>
          <t>骨质疏松、抽筋</t>
        </is>
      </c>
      <c r="G49" s="23" t="inlineStr">
        <is>
          <t>维生素D协同促进吸收</t>
        </is>
      </c>
      <c r="H49" s="73" t="n"/>
      <c r="I49" s="73" t="n"/>
      <c r="J49" s="73" t="n"/>
      <c r="K49" s="73" t="n"/>
      <c r="L49" s="74" t="n"/>
    </row>
    <row r="50" ht="22" customHeight="1">
      <c r="A50" s="86" t="inlineStr">
        <is>
          <t>铁</t>
        </is>
      </c>
      <c r="B50" s="28" t="inlineStr">
        <is>
          <t>12mg</t>
        </is>
      </c>
      <c r="C50" s="28" t="inlineStr">
        <is>
          <t>20mg（育龄女）</t>
        </is>
      </c>
      <c r="D50" s="28" t="inlineStr">
        <is>
          <t>50mg</t>
        </is>
      </c>
      <c r="E50" s="26" t="inlineStr">
        <is>
          <t>猪肝、猪血、牛肉、蛤蜊</t>
        </is>
      </c>
      <c r="F50" s="26" t="inlineStr">
        <is>
          <t>缺铁性贫血、疲劳</t>
        </is>
      </c>
      <c r="G50" s="26" t="inlineStr">
        <is>
          <t>血红素铁（动物）吸收率远高于植物铁</t>
        </is>
      </c>
      <c r="H50" s="73" t="n"/>
      <c r="I50" s="73" t="n"/>
      <c r="J50" s="73" t="n"/>
      <c r="K50" s="73" t="n"/>
      <c r="L50" s="74" t="n"/>
    </row>
    <row r="51" ht="22" customHeight="1">
      <c r="A51" s="87" t="inlineStr">
        <is>
          <t>锌</t>
        </is>
      </c>
      <c r="B51" s="31" t="inlineStr">
        <is>
          <t>12.5mg</t>
        </is>
      </c>
      <c r="C51" s="31" t="inlineStr">
        <is>
          <t>7.5mg</t>
        </is>
      </c>
      <c r="D51" s="31" t="inlineStr">
        <is>
          <t>40mg</t>
        </is>
      </c>
      <c r="E51" s="29" t="inlineStr">
        <is>
          <t>生蚝、牛肉、扇贝、南瓜子</t>
        </is>
      </c>
      <c r="F51" s="29" t="inlineStr">
        <is>
          <t>免疫下降、伤口愈合慢、味觉减退</t>
        </is>
      </c>
      <c r="G51" s="29" t="inlineStr">
        <is>
          <t>素食者需多摄入20-30%</t>
        </is>
      </c>
      <c r="H51" s="73" t="n"/>
      <c r="I51" s="73" t="n"/>
      <c r="J51" s="73" t="n"/>
      <c r="K51" s="73" t="n"/>
      <c r="L51" s="74" t="n"/>
    </row>
    <row r="52" ht="22" customHeight="1">
      <c r="A52" s="77" t="inlineStr">
        <is>
          <t>钠</t>
        </is>
      </c>
      <c r="B52" s="19" t="inlineStr">
        <is>
          <t>&lt;2000mg</t>
        </is>
      </c>
      <c r="C52" s="19" t="inlineStr">
        <is>
          <t>&lt;2000mg</t>
        </is>
      </c>
      <c r="D52" s="19" t="inlineStr">
        <is>
          <t>—</t>
        </is>
      </c>
      <c r="E52" s="17" t="inlineStr">
        <is>
          <t>食盐、酱油、各类调味品</t>
        </is>
      </c>
      <c r="F52" s="17" t="inlineStr">
        <is>
          <t>高钠与高血压、心脏病相关</t>
        </is>
      </c>
      <c r="G52" s="17" t="inlineStr">
        <is>
          <t>中国均值摄入量约为推荐量的2-3倍！</t>
        </is>
      </c>
      <c r="H52" s="73" t="n"/>
      <c r="I52" s="73" t="n"/>
      <c r="J52" s="73" t="n"/>
      <c r="K52" s="73" t="n"/>
      <c r="L52" s="74" t="n"/>
    </row>
    <row r="53" ht="22" customHeight="1">
      <c r="A53" s="79" t="inlineStr">
        <is>
          <t>钾</t>
        </is>
      </c>
      <c r="B53" s="7" t="inlineStr">
        <is>
          <t>2000mg</t>
        </is>
      </c>
      <c r="C53" s="7" t="inlineStr">
        <is>
          <t>2000mg</t>
        </is>
      </c>
      <c r="D53" s="7" t="inlineStr">
        <is>
          <t>3600mg</t>
        </is>
      </c>
      <c r="E53" s="5" t="inlineStr">
        <is>
          <t>香蕉、土豆、牛油果、豆类</t>
        </is>
      </c>
      <c r="F53" s="5" t="inlineStr">
        <is>
          <t>肌肉无力、心律不齐</t>
        </is>
      </c>
      <c r="G53" s="5" t="inlineStr">
        <is>
          <t>多吃蔬果可轻松达标</t>
        </is>
      </c>
      <c r="H53" s="73" t="n"/>
      <c r="I53" s="73" t="n"/>
      <c r="J53" s="73" t="n"/>
      <c r="K53" s="73" t="n"/>
      <c r="L53" s="74" t="n"/>
    </row>
    <row r="54" ht="22" customHeight="1">
      <c r="A54" s="78" t="inlineStr">
        <is>
          <t>镁</t>
        </is>
      </c>
      <c r="B54" s="16" t="inlineStr">
        <is>
          <t>330mg</t>
        </is>
      </c>
      <c r="C54" s="16" t="inlineStr">
        <is>
          <t>280mg</t>
        </is>
      </c>
      <c r="D54" s="16" t="inlineStr">
        <is>
          <t>700mg（补充剂）</t>
        </is>
      </c>
      <c r="E54" s="15" t="inlineStr">
        <is>
          <t>南瓜子、黑巧克力、燕麦、坚果</t>
        </is>
      </c>
      <c r="F54" s="15" t="inlineStr">
        <is>
          <t>肌肉抽筋、睡眠差、头痛</t>
        </is>
      </c>
      <c r="G54" s="15" t="inlineStr">
        <is>
          <t>精加工食品导致镁普遍摄入不足</t>
        </is>
      </c>
      <c r="H54" s="73" t="n"/>
      <c r="I54" s="73" t="n"/>
      <c r="J54" s="73" t="n"/>
      <c r="K54" s="73" t="n"/>
      <c r="L54" s="74" t="n"/>
    </row>
    <row r="55" ht="22" customHeight="1">
      <c r="A55" s="80" t="inlineStr">
        <is>
          <t>Omega-3
(EPA+DHA)</t>
        </is>
      </c>
      <c r="B55" s="4" t="inlineStr">
        <is>
          <t>250-500mg</t>
        </is>
      </c>
      <c r="C55" s="4" t="inlineStr">
        <is>
          <t>250-500mg</t>
        </is>
      </c>
      <c r="D55" s="4" t="inlineStr">
        <is>
          <t>3000mg(EPA+DHA)</t>
        </is>
      </c>
      <c r="E55" s="2" t="inlineStr">
        <is>
          <t>三文鱼、秋刀鱼、金枪鱼、亚麻籽油</t>
        </is>
      </c>
      <c r="F55" s="2" t="inlineStr">
        <is>
          <t>心血管风险升高、炎症</t>
        </is>
      </c>
      <c r="G55" s="2" t="inlineStr">
        <is>
          <t>素食者可选藻油DHA</t>
        </is>
      </c>
      <c r="H55" s="73" t="n"/>
      <c r="I55" s="73" t="n"/>
      <c r="J55" s="73" t="n"/>
      <c r="K55" s="73" t="n"/>
      <c r="L55" s="74" t="n"/>
    </row>
  </sheetData>
  <mergeCells count="52">
    <mergeCell ref="A16:L16"/>
    <mergeCell ref="H26:L26"/>
    <mergeCell ref="H20:L20"/>
    <mergeCell ref="H38:L38"/>
    <mergeCell ref="E33:L33"/>
    <mergeCell ref="H10:L10"/>
    <mergeCell ref="G53:L53"/>
    <mergeCell ref="H41:L41"/>
    <mergeCell ref="G49:L49"/>
    <mergeCell ref="A3:L3"/>
    <mergeCell ref="H4:L4"/>
    <mergeCell ref="H40:L40"/>
    <mergeCell ref="H9:L9"/>
    <mergeCell ref="A2:L2"/>
    <mergeCell ref="H39:L39"/>
    <mergeCell ref="H25:L25"/>
    <mergeCell ref="H21:L21"/>
    <mergeCell ref="E29:L29"/>
    <mergeCell ref="H6:L6"/>
    <mergeCell ref="A5:L5"/>
    <mergeCell ref="G45:L45"/>
    <mergeCell ref="G55:L55"/>
    <mergeCell ref="G51:L51"/>
    <mergeCell ref="E31:L31"/>
    <mergeCell ref="G54:L54"/>
    <mergeCell ref="E34:L34"/>
    <mergeCell ref="H17:L17"/>
    <mergeCell ref="G47:L47"/>
    <mergeCell ref="H11:L11"/>
    <mergeCell ref="E30:L30"/>
    <mergeCell ref="H7:L7"/>
    <mergeCell ref="A43:L43"/>
    <mergeCell ref="G50:L50"/>
    <mergeCell ref="G44:L44"/>
    <mergeCell ref="G46:L46"/>
    <mergeCell ref="A28:L28"/>
    <mergeCell ref="H19:L19"/>
    <mergeCell ref="H13:L13"/>
    <mergeCell ref="H37:L37"/>
    <mergeCell ref="H22:L22"/>
    <mergeCell ref="G52:L52"/>
    <mergeCell ref="H12:L12"/>
    <mergeCell ref="H15:L15"/>
    <mergeCell ref="A1:L1"/>
    <mergeCell ref="H24:L24"/>
    <mergeCell ref="E32:L32"/>
    <mergeCell ref="A36:L36"/>
    <mergeCell ref="H18:L18"/>
    <mergeCell ref="G48:L48"/>
    <mergeCell ref="H14:L14"/>
    <mergeCell ref="H23:L23"/>
    <mergeCell ref="H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40" customWidth="1" min="10" max="10"/>
  </cols>
  <sheetData>
    <row r="1" ht="26" customHeight="1">
      <c r="A1" s="70" t="inlineStr">
        <is>
          <t>运动能量消耗参考表  |  数据基于MET值估算，实际消耗因个体差异有所不同</t>
        </is>
      </c>
    </row>
    <row r="2" ht="18" customHeight="1">
      <c r="A2" s="88" t="inlineStr">
        <is>
          <t>计算公式：消耗热量(kcal) = MET × 体重(kg) × 时间(小时)。例：70kg 人慢跑30分钟 = 7.0 × 70 × 0.5 = 245kcal</t>
        </is>
      </c>
    </row>
    <row r="3" ht="30" customHeight="1">
      <c r="A3" s="36" t="inlineStr">
        <is>
          <t>运动/活动类型</t>
        </is>
      </c>
      <c r="B3" s="36" t="inlineStr">
        <is>
          <t>分类</t>
        </is>
      </c>
      <c r="C3" s="36" t="inlineStr">
        <is>
          <t>MET值</t>
        </is>
      </c>
      <c r="D3" s="36" t="inlineStr">
        <is>
          <t>强度等级</t>
        </is>
      </c>
      <c r="E3" s="36" t="inlineStr">
        <is>
          <t>50kg/30min
(kcal)</t>
        </is>
      </c>
      <c r="F3" s="36" t="inlineStr">
        <is>
          <t>60kg/30min
(kcal)</t>
        </is>
      </c>
      <c r="G3" s="36" t="inlineStr">
        <is>
          <t>70kg/30min
(kcal)</t>
        </is>
      </c>
      <c r="H3" s="36" t="inlineStr">
        <is>
          <t>80kg/30min
(kcal)</t>
        </is>
      </c>
      <c r="I3" s="36" t="inlineStr">
        <is>
          <t>减脂效果</t>
        </is>
      </c>
      <c r="J3" s="36" t="inlineStr">
        <is>
          <t>备注</t>
        </is>
      </c>
    </row>
    <row r="4" ht="22" customHeight="1">
      <c r="A4" s="89" t="inlineStr">
        <is>
          <t>站立工作（站立桌）</t>
        </is>
      </c>
      <c r="B4" s="15" t="inlineStr">
        <is>
          <t>日常活动</t>
        </is>
      </c>
      <c r="C4" s="16" t="n">
        <v>1.8</v>
      </c>
      <c r="D4" s="16" t="inlineStr">
        <is>
          <t>🟢低强度</t>
        </is>
      </c>
      <c r="E4" s="16" t="n">
        <v>45</v>
      </c>
      <c r="F4" s="16" t="n">
        <v>54</v>
      </c>
      <c r="G4" s="16" t="n">
        <v>63</v>
      </c>
      <c r="H4" s="16" t="n">
        <v>72</v>
      </c>
      <c r="I4" s="16" t="inlineStr">
        <is>
          <t>★☆☆☆☆</t>
        </is>
      </c>
      <c r="J4" s="15" t="inlineStr">
        <is>
          <t>办公族减脂选项，长期累积有效</t>
        </is>
      </c>
    </row>
    <row r="5" ht="22" customHeight="1">
      <c r="A5" s="89" t="inlineStr">
        <is>
          <t>慢走（4km/h）</t>
        </is>
      </c>
      <c r="B5" s="15" t="inlineStr">
        <is>
          <t>日常活动</t>
        </is>
      </c>
      <c r="C5" s="16" t="n">
        <v>2.8</v>
      </c>
      <c r="D5" s="16" t="inlineStr">
        <is>
          <t>🟢低强度</t>
        </is>
      </c>
      <c r="E5" s="16" t="n">
        <v>70</v>
      </c>
      <c r="F5" s="16" t="n">
        <v>84</v>
      </c>
      <c r="G5" s="16" t="n">
        <v>98</v>
      </c>
      <c r="H5" s="16" t="n">
        <v>112</v>
      </c>
      <c r="I5" s="16" t="inlineStr">
        <is>
          <t>★☆☆☆☆</t>
        </is>
      </c>
      <c r="J5" s="15" t="inlineStr">
        <is>
          <t>饭后散步，助消化</t>
        </is>
      </c>
    </row>
    <row r="6" ht="22" customHeight="1">
      <c r="A6" s="89" t="inlineStr">
        <is>
          <t>快走（6km/h）</t>
        </is>
      </c>
      <c r="B6" s="15" t="inlineStr">
        <is>
          <t>日常活动</t>
        </is>
      </c>
      <c r="C6" s="16" t="n">
        <v>4</v>
      </c>
      <c r="D6" s="16" t="inlineStr">
        <is>
          <t>🟡中强度</t>
        </is>
      </c>
      <c r="E6" s="16" t="n">
        <v>100</v>
      </c>
      <c r="F6" s="16" t="n">
        <v>120</v>
      </c>
      <c r="G6" s="16" t="n">
        <v>140</v>
      </c>
      <c r="H6" s="16" t="n">
        <v>160</v>
      </c>
      <c r="I6" s="16" t="inlineStr">
        <is>
          <t>★★☆☆☆</t>
        </is>
      </c>
      <c r="J6" s="15" t="inlineStr">
        <is>
          <t>最易坚持的有氧运动</t>
        </is>
      </c>
    </row>
    <row r="7" ht="22" customHeight="1">
      <c r="A7" s="89" t="inlineStr">
        <is>
          <t>爬楼梯（慢）</t>
        </is>
      </c>
      <c r="B7" s="15" t="inlineStr">
        <is>
          <t>日常活动</t>
        </is>
      </c>
      <c r="C7" s="16" t="n">
        <v>4</v>
      </c>
      <c r="D7" s="16" t="inlineStr">
        <is>
          <t>🟡中强度</t>
        </is>
      </c>
      <c r="E7" s="16" t="n">
        <v>100</v>
      </c>
      <c r="F7" s="16" t="n">
        <v>120</v>
      </c>
      <c r="G7" s="16" t="n">
        <v>140</v>
      </c>
      <c r="H7" s="16" t="n">
        <v>160</v>
      </c>
      <c r="I7" s="16" t="inlineStr">
        <is>
          <t>★★☆☆☆</t>
        </is>
      </c>
      <c r="J7" s="15" t="inlineStr">
        <is>
          <t>利用碎片时间增加活动量</t>
        </is>
      </c>
    </row>
    <row r="8" ht="22" customHeight="1">
      <c r="A8" s="89" t="inlineStr">
        <is>
          <t>爬楼梯（快）</t>
        </is>
      </c>
      <c r="B8" s="15" t="inlineStr">
        <is>
          <t>日常活动</t>
        </is>
      </c>
      <c r="C8" s="16" t="n">
        <v>8.800000000000001</v>
      </c>
      <c r="D8" s="16" t="inlineStr">
        <is>
          <t>🔴高强度</t>
        </is>
      </c>
      <c r="E8" s="16" t="n">
        <v>220</v>
      </c>
      <c r="F8" s="16" t="n">
        <v>264</v>
      </c>
      <c r="G8" s="16" t="n">
        <v>308</v>
      </c>
      <c r="H8" s="16" t="n">
        <v>352</v>
      </c>
      <c r="I8" s="16" t="inlineStr">
        <is>
          <t>★★★★☆</t>
        </is>
      </c>
      <c r="J8" s="15" t="inlineStr">
        <is>
          <t>高强度，心肺压力大</t>
        </is>
      </c>
    </row>
    <row r="9" ht="22" customHeight="1">
      <c r="A9" s="89" t="inlineStr">
        <is>
          <t>做家务（一般）</t>
        </is>
      </c>
      <c r="B9" s="15" t="inlineStr">
        <is>
          <t>日常活动</t>
        </is>
      </c>
      <c r="C9" s="16" t="n">
        <v>2.5</v>
      </c>
      <c r="D9" s="16" t="inlineStr">
        <is>
          <t>🟢低强度</t>
        </is>
      </c>
      <c r="E9" s="16" t="n">
        <v>62</v>
      </c>
      <c r="F9" s="16" t="n">
        <v>75</v>
      </c>
      <c r="G9" s="16" t="n">
        <v>88</v>
      </c>
      <c r="H9" s="16" t="n">
        <v>100</v>
      </c>
      <c r="I9" s="16" t="inlineStr">
        <is>
          <t>★☆☆☆☆</t>
        </is>
      </c>
      <c r="J9" s="15" t="inlineStr">
        <is>
          <t>拖地/擦桌等中等家务</t>
        </is>
      </c>
    </row>
    <row r="10" ht="22" customHeight="1">
      <c r="A10" s="89" t="inlineStr">
        <is>
          <t>购物逛街</t>
        </is>
      </c>
      <c r="B10" s="15" t="inlineStr">
        <is>
          <t>日常活动</t>
        </is>
      </c>
      <c r="C10" s="16" t="n">
        <v>2.3</v>
      </c>
      <c r="D10" s="16" t="inlineStr">
        <is>
          <t>🟢低强度</t>
        </is>
      </c>
      <c r="E10" s="16" t="n">
        <v>57</v>
      </c>
      <c r="F10" s="16" t="n">
        <v>69</v>
      </c>
      <c r="G10" s="16" t="n">
        <v>80</v>
      </c>
      <c r="H10" s="16" t="n">
        <v>92</v>
      </c>
      <c r="I10" s="16" t="inlineStr">
        <is>
          <t>★☆☆☆☆</t>
        </is>
      </c>
      <c r="J10" s="15" t="inlineStr">
        <is>
          <t>走路购物每小时消耗可观</t>
        </is>
      </c>
    </row>
    <row r="11" ht="22" customHeight="1">
      <c r="A11" s="89" t="inlineStr">
        <is>
          <t>骑自行车（通勤16km/h）</t>
        </is>
      </c>
      <c r="B11" s="15" t="inlineStr">
        <is>
          <t>日常活动</t>
        </is>
      </c>
      <c r="C11" s="16" t="n">
        <v>6.8</v>
      </c>
      <c r="D11" s="16" t="inlineStr">
        <is>
          <t>🔴高强度</t>
        </is>
      </c>
      <c r="E11" s="16" t="n">
        <v>170</v>
      </c>
      <c r="F11" s="16" t="n">
        <v>204</v>
      </c>
      <c r="G11" s="16" t="n">
        <v>238</v>
      </c>
      <c r="H11" s="16" t="n">
        <v>272</v>
      </c>
      <c r="I11" s="16" t="inlineStr">
        <is>
          <t>★★★☆☆</t>
        </is>
      </c>
      <c r="J11" s="15" t="inlineStr">
        <is>
          <t>环保通勤同时消耗热量</t>
        </is>
      </c>
    </row>
    <row r="12" ht="22" customHeight="1">
      <c r="A12" s="90" t="inlineStr">
        <is>
          <t>慢跑（8km/h）</t>
        </is>
      </c>
      <c r="B12" s="2" t="inlineStr">
        <is>
          <t>有氧运动</t>
        </is>
      </c>
      <c r="C12" s="4" t="n">
        <v>7</v>
      </c>
      <c r="D12" s="4" t="inlineStr">
        <is>
          <t>🔴高强度</t>
        </is>
      </c>
      <c r="E12" s="4" t="n">
        <v>175</v>
      </c>
      <c r="F12" s="4" t="n">
        <v>210</v>
      </c>
      <c r="G12" s="4" t="n">
        <v>245</v>
      </c>
      <c r="H12" s="4" t="n">
        <v>280</v>
      </c>
      <c r="I12" s="4" t="inlineStr">
        <is>
          <t>★★★★☆</t>
        </is>
      </c>
      <c r="J12" s="2" t="inlineStr">
        <is>
          <t>最经典有氧减脂运动</t>
        </is>
      </c>
    </row>
    <row r="13" ht="22" customHeight="1">
      <c r="A13" s="90" t="inlineStr">
        <is>
          <t>中速跑（10km/h）</t>
        </is>
      </c>
      <c r="B13" s="2" t="inlineStr">
        <is>
          <t>有氧运动</t>
        </is>
      </c>
      <c r="C13" s="4" t="n">
        <v>9.800000000000001</v>
      </c>
      <c r="D13" s="4" t="inlineStr">
        <is>
          <t>🔥极高强度</t>
        </is>
      </c>
      <c r="E13" s="4" t="n">
        <v>245</v>
      </c>
      <c r="F13" s="4" t="n">
        <v>294</v>
      </c>
      <c r="G13" s="4" t="n">
        <v>343</v>
      </c>
      <c r="H13" s="4" t="n">
        <v>392</v>
      </c>
      <c r="I13" s="4" t="inlineStr">
        <is>
          <t>★★★★☆</t>
        </is>
      </c>
      <c r="J13" s="2" t="inlineStr">
        <is>
          <t>适合有跑步基础者</t>
        </is>
      </c>
    </row>
    <row r="14" ht="22" customHeight="1">
      <c r="A14" s="90" t="inlineStr">
        <is>
          <t>快跑（12km/h）</t>
        </is>
      </c>
      <c r="B14" s="2" t="inlineStr">
        <is>
          <t>有氧运动</t>
        </is>
      </c>
      <c r="C14" s="4" t="n">
        <v>11.8</v>
      </c>
      <c r="D14" s="4" t="inlineStr">
        <is>
          <t>🔥极高强度</t>
        </is>
      </c>
      <c r="E14" s="4" t="n">
        <v>295</v>
      </c>
      <c r="F14" s="4" t="n">
        <v>354</v>
      </c>
      <c r="G14" s="4" t="n">
        <v>413</v>
      </c>
      <c r="H14" s="4" t="n">
        <v>472</v>
      </c>
      <c r="I14" s="4" t="inlineStr">
        <is>
          <t>★★★★★</t>
        </is>
      </c>
      <c r="J14" s="2" t="inlineStr">
        <is>
          <t>高强度，脂肪+糖原双消耗</t>
        </is>
      </c>
    </row>
    <row r="15" ht="22" customHeight="1">
      <c r="A15" s="90" t="inlineStr">
        <is>
          <t>马拉松配速（5min/km）</t>
        </is>
      </c>
      <c r="B15" s="2" t="inlineStr">
        <is>
          <t>有氧运动</t>
        </is>
      </c>
      <c r="C15" s="4" t="n">
        <v>11</v>
      </c>
      <c r="D15" s="4" t="inlineStr">
        <is>
          <t>🔥极高强度</t>
        </is>
      </c>
      <c r="E15" s="4" t="n">
        <v>275</v>
      </c>
      <c r="F15" s="4" t="n">
        <v>330</v>
      </c>
      <c r="G15" s="4" t="n">
        <v>385</v>
      </c>
      <c r="H15" s="4" t="n">
        <v>440</v>
      </c>
      <c r="I15" s="4" t="inlineStr">
        <is>
          <t>★★★★★</t>
        </is>
      </c>
      <c r="J15" s="2" t="inlineStr">
        <is>
          <t>长距离低强度累积消耗大</t>
        </is>
      </c>
    </row>
    <row r="16" ht="22" customHeight="1">
      <c r="A16" s="90" t="inlineStr">
        <is>
          <t>骑单车（休闲16km/h）</t>
        </is>
      </c>
      <c r="B16" s="2" t="inlineStr">
        <is>
          <t>有氧运动</t>
        </is>
      </c>
      <c r="C16" s="4" t="n">
        <v>6</v>
      </c>
      <c r="D16" s="4" t="inlineStr">
        <is>
          <t>🔴高强度</t>
        </is>
      </c>
      <c r="E16" s="4" t="n">
        <v>150</v>
      </c>
      <c r="F16" s="4" t="n">
        <v>180</v>
      </c>
      <c r="G16" s="4" t="n">
        <v>210</v>
      </c>
      <c r="H16" s="4" t="n">
        <v>240</v>
      </c>
      <c r="I16" s="4" t="inlineStr">
        <is>
          <t>★★★☆☆</t>
        </is>
      </c>
      <c r="J16" s="2" t="inlineStr">
        <is>
          <t>膝关节友好型有氧</t>
        </is>
      </c>
    </row>
    <row r="17" ht="22" customHeight="1">
      <c r="A17" s="90" t="inlineStr">
        <is>
          <t>骑单车（竞速30km/h）</t>
        </is>
      </c>
      <c r="B17" s="2" t="inlineStr">
        <is>
          <t>有氧运动</t>
        </is>
      </c>
      <c r="C17" s="4" t="n">
        <v>12.8</v>
      </c>
      <c r="D17" s="4" t="inlineStr">
        <is>
          <t>🔥极高强度</t>
        </is>
      </c>
      <c r="E17" s="4" t="n">
        <v>320</v>
      </c>
      <c r="F17" s="4" t="n">
        <v>384</v>
      </c>
      <c r="G17" s="4" t="n">
        <v>448</v>
      </c>
      <c r="H17" s="4" t="n">
        <v>512</v>
      </c>
      <c r="I17" s="4" t="inlineStr">
        <is>
          <t>★★★★★</t>
        </is>
      </c>
      <c r="J17" s="2" t="inlineStr">
        <is>
          <t>高强度有氧，腿部力量强</t>
        </is>
      </c>
    </row>
    <row r="18" ht="22" customHeight="1">
      <c r="A18" s="90" t="inlineStr">
        <is>
          <t>动感单车课</t>
        </is>
      </c>
      <c r="B18" s="2" t="inlineStr">
        <is>
          <t>有氧运动</t>
        </is>
      </c>
      <c r="C18" s="4" t="n">
        <v>8.5</v>
      </c>
      <c r="D18" s="4" t="inlineStr">
        <is>
          <t>🔴高强度</t>
        </is>
      </c>
      <c r="E18" s="4" t="n">
        <v>212</v>
      </c>
      <c r="F18" s="4" t="n">
        <v>255</v>
      </c>
      <c r="G18" s="4" t="n">
        <v>298</v>
      </c>
      <c r="H18" s="4" t="n">
        <v>340</v>
      </c>
      <c r="I18" s="4" t="inlineStr">
        <is>
          <t>★★★★☆</t>
        </is>
      </c>
      <c r="J18" s="2" t="inlineStr">
        <is>
          <t>室内高强度有氧，大量出汗</t>
        </is>
      </c>
    </row>
    <row r="19" ht="22" customHeight="1">
      <c r="A19" s="90" t="inlineStr">
        <is>
          <t>椭圆机（中等强度）</t>
        </is>
      </c>
      <c r="B19" s="2" t="inlineStr">
        <is>
          <t>有氧运动</t>
        </is>
      </c>
      <c r="C19" s="4" t="n">
        <v>5</v>
      </c>
      <c r="D19" s="4" t="inlineStr">
        <is>
          <t>🟡中强度</t>
        </is>
      </c>
      <c r="E19" s="4" t="n">
        <v>125</v>
      </c>
      <c r="F19" s="4" t="n">
        <v>150</v>
      </c>
      <c r="G19" s="4" t="n">
        <v>175</v>
      </c>
      <c r="H19" s="4" t="n">
        <v>200</v>
      </c>
      <c r="I19" s="4" t="inlineStr">
        <is>
          <t>★★★☆☆</t>
        </is>
      </c>
      <c r="J19" s="2" t="inlineStr">
        <is>
          <t>全身协调，关节压力小</t>
        </is>
      </c>
    </row>
    <row r="20" ht="22" customHeight="1">
      <c r="A20" s="90" t="inlineStr">
        <is>
          <t>跑步机（坡度8%慢跑）</t>
        </is>
      </c>
      <c r="B20" s="2" t="inlineStr">
        <is>
          <t>有氧运动</t>
        </is>
      </c>
      <c r="C20" s="4" t="n">
        <v>8.300000000000001</v>
      </c>
      <c r="D20" s="4" t="inlineStr">
        <is>
          <t>🔴高强度</t>
        </is>
      </c>
      <c r="E20" s="4" t="n">
        <v>208</v>
      </c>
      <c r="F20" s="4" t="n">
        <v>249</v>
      </c>
      <c r="G20" s="4" t="n">
        <v>290</v>
      </c>
      <c r="H20" s="4" t="n">
        <v>332</v>
      </c>
      <c r="I20" s="4" t="inlineStr">
        <is>
          <t>★★★★☆</t>
        </is>
      </c>
      <c r="J20" s="2" t="inlineStr">
        <is>
          <t>坡度大幅增加消耗</t>
        </is>
      </c>
    </row>
    <row r="21" ht="22" customHeight="1">
      <c r="A21" s="90" t="inlineStr">
        <is>
          <t>跳绳（中速）</t>
        </is>
      </c>
      <c r="B21" s="2" t="inlineStr">
        <is>
          <t>有氧运动</t>
        </is>
      </c>
      <c r="C21" s="4" t="n">
        <v>11.8</v>
      </c>
      <c r="D21" s="4" t="inlineStr">
        <is>
          <t>🔥极高强度</t>
        </is>
      </c>
      <c r="E21" s="4" t="n">
        <v>295</v>
      </c>
      <c r="F21" s="4" t="n">
        <v>354</v>
      </c>
      <c r="G21" s="4" t="n">
        <v>413</v>
      </c>
      <c r="H21" s="4" t="n">
        <v>472</v>
      </c>
      <c r="I21" s="4" t="inlineStr">
        <is>
          <t>★★★★★</t>
        </is>
      </c>
      <c r="J21" s="2" t="inlineStr">
        <is>
          <t>单位时间消耗极高</t>
        </is>
      </c>
    </row>
    <row r="22" ht="22" customHeight="1">
      <c r="A22" s="90" t="inlineStr">
        <is>
          <t>跳绳（慢速）</t>
        </is>
      </c>
      <c r="B22" s="2" t="inlineStr">
        <is>
          <t>有氧运动</t>
        </is>
      </c>
      <c r="C22" s="4" t="n">
        <v>8.800000000000001</v>
      </c>
      <c r="D22" s="4" t="inlineStr">
        <is>
          <t>🔴高强度</t>
        </is>
      </c>
      <c r="E22" s="4" t="n">
        <v>220</v>
      </c>
      <c r="F22" s="4" t="n">
        <v>264</v>
      </c>
      <c r="G22" s="4" t="n">
        <v>308</v>
      </c>
      <c r="H22" s="4" t="n">
        <v>352</v>
      </c>
      <c r="I22" s="4" t="inlineStr">
        <is>
          <t>★★★★☆</t>
        </is>
      </c>
      <c r="J22" s="2" t="inlineStr">
        <is>
          <t>适合初学者</t>
        </is>
      </c>
    </row>
    <row r="23" ht="22" customHeight="1">
      <c r="A23" s="90" t="inlineStr">
        <is>
          <t>广场舞/健身操</t>
        </is>
      </c>
      <c r="B23" s="2" t="inlineStr">
        <is>
          <t>有氧运动</t>
        </is>
      </c>
      <c r="C23" s="4" t="n">
        <v>5.5</v>
      </c>
      <c r="D23" s="4" t="inlineStr">
        <is>
          <t>🟡中强度</t>
        </is>
      </c>
      <c r="E23" s="4" t="n">
        <v>138</v>
      </c>
      <c r="F23" s="4" t="n">
        <v>165</v>
      </c>
      <c r="G23" s="4" t="n">
        <v>192</v>
      </c>
      <c r="H23" s="4" t="n">
        <v>220</v>
      </c>
      <c r="I23" s="4" t="inlineStr">
        <is>
          <t>★★★☆☆</t>
        </is>
      </c>
      <c r="J23" s="2" t="inlineStr">
        <is>
          <t>社交型有氧，适合中老年</t>
        </is>
      </c>
    </row>
    <row r="24" ht="22" customHeight="1">
      <c r="A24" s="90" t="inlineStr">
        <is>
          <t>有氧踏步操</t>
        </is>
      </c>
      <c r="B24" s="2" t="inlineStr">
        <is>
          <t>有氧运动</t>
        </is>
      </c>
      <c r="C24" s="4" t="n">
        <v>7.5</v>
      </c>
      <c r="D24" s="4" t="inlineStr">
        <is>
          <t>🔴高强度</t>
        </is>
      </c>
      <c r="E24" s="4" t="n">
        <v>188</v>
      </c>
      <c r="F24" s="4" t="n">
        <v>225</v>
      </c>
      <c r="G24" s="4" t="n">
        <v>262</v>
      </c>
      <c r="H24" s="4" t="n">
        <v>300</v>
      </c>
      <c r="I24" s="4" t="inlineStr">
        <is>
          <t>★★★★☆</t>
        </is>
      </c>
      <c r="J24" s="2" t="inlineStr">
        <is>
          <t>低冲击，膝关节友好</t>
        </is>
      </c>
    </row>
    <row r="25" ht="22" customHeight="1">
      <c r="A25" s="91" t="inlineStr">
        <is>
          <t>HIIT（高强度间歇）</t>
        </is>
      </c>
      <c r="B25" s="20" t="inlineStr">
        <is>
          <t>高强度间歇</t>
        </is>
      </c>
      <c r="C25" s="22" t="n">
        <v>14</v>
      </c>
      <c r="D25" s="22" t="inlineStr">
        <is>
          <t>🔥极高强度</t>
        </is>
      </c>
      <c r="E25" s="22" t="n">
        <v>350</v>
      </c>
      <c r="F25" s="22" t="n">
        <v>420</v>
      </c>
      <c r="G25" s="22" t="n">
        <v>490</v>
      </c>
      <c r="H25" s="22" t="n">
        <v>560</v>
      </c>
      <c r="I25" s="22" t="inlineStr">
        <is>
          <t>★★★★★</t>
        </is>
      </c>
      <c r="J25" s="20" t="inlineStr">
        <is>
          <t>运动后持续燃脂效应显著</t>
        </is>
      </c>
    </row>
    <row r="26" ht="22" customHeight="1">
      <c r="A26" s="91" t="inlineStr">
        <is>
          <t>Tabata</t>
        </is>
      </c>
      <c r="B26" s="20" t="inlineStr">
        <is>
          <t>高强度间歇</t>
        </is>
      </c>
      <c r="C26" s="22" t="n">
        <v>13.5</v>
      </c>
      <c r="D26" s="22" t="inlineStr">
        <is>
          <t>🔥极高强度</t>
        </is>
      </c>
      <c r="E26" s="22" t="n">
        <v>338</v>
      </c>
      <c r="F26" s="22" t="n">
        <v>405</v>
      </c>
      <c r="G26" s="22" t="n">
        <v>472</v>
      </c>
      <c r="H26" s="22" t="n">
        <v>540</v>
      </c>
      <c r="I26" s="22" t="inlineStr">
        <is>
          <t>★★★★★</t>
        </is>
      </c>
      <c r="J26" s="20" t="inlineStr">
        <is>
          <t>4分钟极限版HIIT</t>
        </is>
      </c>
    </row>
    <row r="27" ht="22" customHeight="1">
      <c r="A27" s="91" t="inlineStr">
        <is>
          <t>波比跳</t>
        </is>
      </c>
      <c r="B27" s="20" t="inlineStr">
        <is>
          <t>高强度间歇</t>
        </is>
      </c>
      <c r="C27" s="22" t="n">
        <v>12</v>
      </c>
      <c r="D27" s="22" t="inlineStr">
        <is>
          <t>🔥极高强度</t>
        </is>
      </c>
      <c r="E27" s="22" t="n">
        <v>300</v>
      </c>
      <c r="F27" s="22" t="n">
        <v>360</v>
      </c>
      <c r="G27" s="22" t="n">
        <v>420</v>
      </c>
      <c r="H27" s="22" t="n">
        <v>480</v>
      </c>
      <c r="I27" s="22" t="inlineStr">
        <is>
          <t>★★★★★</t>
        </is>
      </c>
      <c r="J27" s="20" t="inlineStr">
        <is>
          <t>全身综合高强度</t>
        </is>
      </c>
    </row>
    <row r="28" ht="22" customHeight="1">
      <c r="A28" s="91" t="inlineStr">
        <is>
          <t>山地爬行（登山者）</t>
        </is>
      </c>
      <c r="B28" s="20" t="inlineStr">
        <is>
          <t>高强度间歇</t>
        </is>
      </c>
      <c r="C28" s="22" t="n">
        <v>9</v>
      </c>
      <c r="D28" s="22" t="inlineStr">
        <is>
          <t>🔥极高强度</t>
        </is>
      </c>
      <c r="E28" s="22" t="n">
        <v>225</v>
      </c>
      <c r="F28" s="22" t="n">
        <v>270</v>
      </c>
      <c r="G28" s="22" t="n">
        <v>315</v>
      </c>
      <c r="H28" s="22" t="n">
        <v>360</v>
      </c>
      <c r="I28" s="22" t="inlineStr">
        <is>
          <t>★★★★☆</t>
        </is>
      </c>
      <c r="J28" s="20" t="inlineStr">
        <is>
          <t>核心+心肺双重训练</t>
        </is>
      </c>
    </row>
    <row r="29" ht="22" customHeight="1">
      <c r="A29" s="91" t="inlineStr">
        <is>
          <t>跳箱/Burpee组合</t>
        </is>
      </c>
      <c r="B29" s="20" t="inlineStr">
        <is>
          <t>高强度间歇</t>
        </is>
      </c>
      <c r="C29" s="22" t="n">
        <v>10</v>
      </c>
      <c r="D29" s="22" t="inlineStr">
        <is>
          <t>🔥极高强度</t>
        </is>
      </c>
      <c r="E29" s="22" t="n">
        <v>250</v>
      </c>
      <c r="F29" s="22" t="n">
        <v>300</v>
      </c>
      <c r="G29" s="22" t="n">
        <v>350</v>
      </c>
      <c r="H29" s="22" t="n">
        <v>400</v>
      </c>
      <c r="I29" s="22" t="inlineStr">
        <is>
          <t>★★★★★</t>
        </is>
      </c>
      <c r="J29" s="20" t="inlineStr">
        <is>
          <t>爆发力+耐力兼顾</t>
        </is>
      </c>
    </row>
    <row r="30" ht="22" customHeight="1">
      <c r="A30" s="92" t="inlineStr">
        <is>
          <t>重量训练（一般）</t>
        </is>
      </c>
      <c r="B30" s="17" t="inlineStr">
        <is>
          <t>力量训练</t>
        </is>
      </c>
      <c r="C30" s="19" t="n">
        <v>3.5</v>
      </c>
      <c r="D30" s="19" t="inlineStr">
        <is>
          <t>🟡中强度</t>
        </is>
      </c>
      <c r="E30" s="19" t="n">
        <v>88</v>
      </c>
      <c r="F30" s="19" t="n">
        <v>105</v>
      </c>
      <c r="G30" s="19" t="n">
        <v>122</v>
      </c>
      <c r="H30" s="19" t="n">
        <v>140</v>
      </c>
      <c r="I30" s="19" t="inlineStr">
        <is>
          <t>★★☆☆☆</t>
        </is>
      </c>
      <c r="J30" s="17" t="inlineStr">
        <is>
          <t>实际消耗低但肌肉合成高</t>
        </is>
      </c>
    </row>
    <row r="31" ht="22" customHeight="1">
      <c r="A31" s="92" t="inlineStr">
        <is>
          <t>重量训练（高强度）</t>
        </is>
      </c>
      <c r="B31" s="17" t="inlineStr">
        <is>
          <t>力量训练</t>
        </is>
      </c>
      <c r="C31" s="19" t="n">
        <v>6</v>
      </c>
      <c r="D31" s="19" t="inlineStr">
        <is>
          <t>🔴高强度</t>
        </is>
      </c>
      <c r="E31" s="19" t="n">
        <v>150</v>
      </c>
      <c r="F31" s="19" t="n">
        <v>180</v>
      </c>
      <c r="G31" s="19" t="n">
        <v>210</v>
      </c>
      <c r="H31" s="19" t="n">
        <v>240</v>
      </c>
      <c r="I31" s="19" t="inlineStr">
        <is>
          <t>★★★☆☆</t>
        </is>
      </c>
      <c r="J31" s="17" t="inlineStr">
        <is>
          <t>大重量复合动作，代谢提升</t>
        </is>
      </c>
    </row>
    <row r="32" ht="22" customHeight="1">
      <c r="A32" s="92" t="inlineStr">
        <is>
          <t>深蹲（自重）</t>
        </is>
      </c>
      <c r="B32" s="17" t="inlineStr">
        <is>
          <t>力量训练</t>
        </is>
      </c>
      <c r="C32" s="19" t="n">
        <v>5</v>
      </c>
      <c r="D32" s="19" t="inlineStr">
        <is>
          <t>🟡中强度</t>
        </is>
      </c>
      <c r="E32" s="19" t="n">
        <v>125</v>
      </c>
      <c r="F32" s="19" t="n">
        <v>150</v>
      </c>
      <c r="G32" s="19" t="n">
        <v>175</v>
      </c>
      <c r="H32" s="19" t="n">
        <v>200</v>
      </c>
      <c r="I32" s="19" t="inlineStr">
        <is>
          <t>★★★☆☆</t>
        </is>
      </c>
      <c r="J32" s="17" t="inlineStr">
        <is>
          <t>最重要的下肢力量动作</t>
        </is>
      </c>
    </row>
    <row r="33" ht="22" customHeight="1">
      <c r="A33" s="92" t="inlineStr">
        <is>
          <t>俯卧撑</t>
        </is>
      </c>
      <c r="B33" s="17" t="inlineStr">
        <is>
          <t>力量训练</t>
        </is>
      </c>
      <c r="C33" s="19" t="n">
        <v>4</v>
      </c>
      <c r="D33" s="19" t="inlineStr">
        <is>
          <t>🟡中强度</t>
        </is>
      </c>
      <c r="E33" s="19" t="n">
        <v>100</v>
      </c>
      <c r="F33" s="19" t="n">
        <v>120</v>
      </c>
      <c r="G33" s="19" t="n">
        <v>140</v>
      </c>
      <c r="H33" s="19" t="n">
        <v>160</v>
      </c>
      <c r="I33" s="19" t="inlineStr">
        <is>
          <t>★★☆☆☆</t>
        </is>
      </c>
      <c r="J33" s="17" t="inlineStr">
        <is>
          <t>无器械全身运动</t>
        </is>
      </c>
    </row>
    <row r="34" ht="22" customHeight="1">
      <c r="A34" s="92" t="inlineStr">
        <is>
          <t>引体向上</t>
        </is>
      </c>
      <c r="B34" s="17" t="inlineStr">
        <is>
          <t>力量训练</t>
        </is>
      </c>
      <c r="C34" s="19" t="n">
        <v>4</v>
      </c>
      <c r="D34" s="19" t="inlineStr">
        <is>
          <t>🟡中强度</t>
        </is>
      </c>
      <c r="E34" s="19" t="n">
        <v>100</v>
      </c>
      <c r="F34" s="19" t="n">
        <v>120</v>
      </c>
      <c r="G34" s="19" t="n">
        <v>140</v>
      </c>
      <c r="H34" s="19" t="n">
        <v>160</v>
      </c>
      <c r="I34" s="19" t="inlineStr">
        <is>
          <t>★★☆☆☆</t>
        </is>
      </c>
      <c r="J34" s="17" t="inlineStr">
        <is>
          <t>上背&amp;手臂力量训练</t>
        </is>
      </c>
    </row>
    <row r="35" ht="22" customHeight="1">
      <c r="A35" s="92" t="inlineStr">
        <is>
          <t>普拉提</t>
        </is>
      </c>
      <c r="B35" s="17" t="inlineStr">
        <is>
          <t>力量训练</t>
        </is>
      </c>
      <c r="C35" s="19" t="n">
        <v>3</v>
      </c>
      <c r="D35" s="19" t="inlineStr">
        <is>
          <t>🟡中强度</t>
        </is>
      </c>
      <c r="E35" s="19" t="n">
        <v>75</v>
      </c>
      <c r="F35" s="19" t="n">
        <v>90</v>
      </c>
      <c r="G35" s="19" t="n">
        <v>105</v>
      </c>
      <c r="H35" s="19" t="n">
        <v>120</v>
      </c>
      <c r="I35" s="19" t="inlineStr">
        <is>
          <t>★★☆☆☆</t>
        </is>
      </c>
      <c r="J35" s="17" t="inlineStr">
        <is>
          <t>核心控制，康复友好</t>
        </is>
      </c>
    </row>
    <row r="36" ht="22" customHeight="1">
      <c r="A36" s="92" t="inlineStr">
        <is>
          <t>瑜伽（哈他）</t>
        </is>
      </c>
      <c r="B36" s="17" t="inlineStr">
        <is>
          <t>力量训练</t>
        </is>
      </c>
      <c r="C36" s="19" t="n">
        <v>2.5</v>
      </c>
      <c r="D36" s="19" t="inlineStr">
        <is>
          <t>🟢低强度</t>
        </is>
      </c>
      <c r="E36" s="19" t="n">
        <v>62</v>
      </c>
      <c r="F36" s="19" t="n">
        <v>75</v>
      </c>
      <c r="G36" s="19" t="n">
        <v>88</v>
      </c>
      <c r="H36" s="19" t="n">
        <v>100</v>
      </c>
      <c r="I36" s="19" t="inlineStr">
        <is>
          <t>★☆☆☆☆</t>
        </is>
      </c>
      <c r="J36" s="17" t="inlineStr">
        <is>
          <t>柔韧性&amp;平衡训练</t>
        </is>
      </c>
    </row>
    <row r="37" ht="22" customHeight="1">
      <c r="A37" s="92" t="inlineStr">
        <is>
          <t>瑜伽（阿斯汤加）</t>
        </is>
      </c>
      <c r="B37" s="17" t="inlineStr">
        <is>
          <t>力量训练</t>
        </is>
      </c>
      <c r="C37" s="19" t="n">
        <v>4</v>
      </c>
      <c r="D37" s="19" t="inlineStr">
        <is>
          <t>🟡中强度</t>
        </is>
      </c>
      <c r="E37" s="19" t="n">
        <v>100</v>
      </c>
      <c r="F37" s="19" t="n">
        <v>120</v>
      </c>
      <c r="G37" s="19" t="n">
        <v>140</v>
      </c>
      <c r="H37" s="19" t="n">
        <v>160</v>
      </c>
      <c r="I37" s="19" t="inlineStr">
        <is>
          <t>★★☆☆☆</t>
        </is>
      </c>
      <c r="J37" s="17" t="inlineStr">
        <is>
          <t>流动瑜伽，消耗更高</t>
        </is>
      </c>
    </row>
    <row r="38" ht="22" customHeight="1">
      <c r="A38" s="92" t="inlineStr">
        <is>
          <t>徒手有氧力量（如开合跳）</t>
        </is>
      </c>
      <c r="B38" s="17" t="inlineStr">
        <is>
          <t>力量训练</t>
        </is>
      </c>
      <c r="C38" s="19" t="n">
        <v>8</v>
      </c>
      <c r="D38" s="19" t="inlineStr">
        <is>
          <t>🔴高强度</t>
        </is>
      </c>
      <c r="E38" s="19" t="n">
        <v>200</v>
      </c>
      <c r="F38" s="19" t="n">
        <v>240</v>
      </c>
      <c r="G38" s="19" t="n">
        <v>280</v>
      </c>
      <c r="H38" s="19" t="n">
        <v>320</v>
      </c>
      <c r="I38" s="19" t="inlineStr">
        <is>
          <t>★★★★☆</t>
        </is>
      </c>
      <c r="J38" s="17" t="inlineStr">
        <is>
          <t>结合有氧和力量</t>
        </is>
      </c>
    </row>
    <row r="39" ht="22" customHeight="1">
      <c r="A39" s="93" t="inlineStr">
        <is>
          <t>篮球（比赛）</t>
        </is>
      </c>
      <c r="B39" s="5" t="inlineStr">
        <is>
          <t>球类运动</t>
        </is>
      </c>
      <c r="C39" s="7" t="n">
        <v>8</v>
      </c>
      <c r="D39" s="7" t="inlineStr">
        <is>
          <t>🔴高强度</t>
        </is>
      </c>
      <c r="E39" s="7" t="n">
        <v>200</v>
      </c>
      <c r="F39" s="7" t="n">
        <v>240</v>
      </c>
      <c r="G39" s="7" t="n">
        <v>280</v>
      </c>
      <c r="H39" s="7" t="n">
        <v>320</v>
      </c>
      <c r="I39" s="7" t="inlineStr">
        <is>
          <t>★★★★☆</t>
        </is>
      </c>
      <c r="J39" s="5" t="inlineStr">
        <is>
          <t>全身对抗，消耗极高</t>
        </is>
      </c>
    </row>
    <row r="40" ht="22" customHeight="1">
      <c r="A40" s="93" t="inlineStr">
        <is>
          <t>足球（比赛）</t>
        </is>
      </c>
      <c r="B40" s="5" t="inlineStr">
        <is>
          <t>球类运动</t>
        </is>
      </c>
      <c r="C40" s="7" t="n">
        <v>10</v>
      </c>
      <c r="D40" s="7" t="inlineStr">
        <is>
          <t>🔥极高强度</t>
        </is>
      </c>
      <c r="E40" s="7" t="n">
        <v>250</v>
      </c>
      <c r="F40" s="7" t="n">
        <v>300</v>
      </c>
      <c r="G40" s="7" t="n">
        <v>350</v>
      </c>
      <c r="H40" s="7" t="n">
        <v>400</v>
      </c>
      <c r="I40" s="7" t="inlineStr">
        <is>
          <t>★★★★★</t>
        </is>
      </c>
      <c r="J40" s="5" t="inlineStr">
        <is>
          <t>持续跑动，全身协调</t>
        </is>
      </c>
    </row>
    <row r="41" ht="22" customHeight="1">
      <c r="A41" s="93" t="inlineStr">
        <is>
          <t>羽毛球（竞技）</t>
        </is>
      </c>
      <c r="B41" s="5" t="inlineStr">
        <is>
          <t>球类运动</t>
        </is>
      </c>
      <c r="C41" s="7" t="n">
        <v>7</v>
      </c>
      <c r="D41" s="7" t="inlineStr">
        <is>
          <t>🔴高强度</t>
        </is>
      </c>
      <c r="E41" s="7" t="n">
        <v>175</v>
      </c>
      <c r="F41" s="7" t="n">
        <v>210</v>
      </c>
      <c r="G41" s="7" t="n">
        <v>245</v>
      </c>
      <c r="H41" s="7" t="n">
        <v>280</v>
      </c>
      <c r="I41" s="7" t="inlineStr">
        <is>
          <t>★★★★☆</t>
        </is>
      </c>
      <c r="J41" s="5" t="inlineStr">
        <is>
          <t>反应+爆发力训练</t>
        </is>
      </c>
    </row>
    <row r="42" ht="22" customHeight="1">
      <c r="A42" s="93" t="inlineStr">
        <is>
          <t>乒乓球（竞技）</t>
        </is>
      </c>
      <c r="B42" s="5" t="inlineStr">
        <is>
          <t>球类运动</t>
        </is>
      </c>
      <c r="C42" s="7" t="n">
        <v>4</v>
      </c>
      <c r="D42" s="7" t="inlineStr">
        <is>
          <t>🟡中强度</t>
        </is>
      </c>
      <c r="E42" s="7" t="n">
        <v>100</v>
      </c>
      <c r="F42" s="7" t="n">
        <v>120</v>
      </c>
      <c r="G42" s="7" t="n">
        <v>140</v>
      </c>
      <c r="H42" s="7" t="n">
        <v>160</v>
      </c>
      <c r="I42" s="7" t="inlineStr">
        <is>
          <t>★★☆☆☆</t>
        </is>
      </c>
      <c r="J42" s="5" t="inlineStr">
        <is>
          <t>反应能力+全身协调</t>
        </is>
      </c>
    </row>
    <row r="43" ht="22" customHeight="1">
      <c r="A43" s="93" t="inlineStr">
        <is>
          <t>网球（单打）</t>
        </is>
      </c>
      <c r="B43" s="5" t="inlineStr">
        <is>
          <t>球类运动</t>
        </is>
      </c>
      <c r="C43" s="7" t="n">
        <v>8</v>
      </c>
      <c r="D43" s="7" t="inlineStr">
        <is>
          <t>🔴高强度</t>
        </is>
      </c>
      <c r="E43" s="7" t="n">
        <v>200</v>
      </c>
      <c r="F43" s="7" t="n">
        <v>240</v>
      </c>
      <c r="G43" s="7" t="n">
        <v>280</v>
      </c>
      <c r="H43" s="7" t="n">
        <v>320</v>
      </c>
      <c r="I43" s="7" t="inlineStr">
        <is>
          <t>★★★★☆</t>
        </is>
      </c>
      <c r="J43" s="5" t="inlineStr">
        <is>
          <t>心肺+上肢力量</t>
        </is>
      </c>
    </row>
    <row r="44" ht="22" customHeight="1">
      <c r="A44" s="93" t="inlineStr">
        <is>
          <t>排球</t>
        </is>
      </c>
      <c r="B44" s="5" t="inlineStr">
        <is>
          <t>球类运动</t>
        </is>
      </c>
      <c r="C44" s="7" t="n">
        <v>4</v>
      </c>
      <c r="D44" s="7" t="inlineStr">
        <is>
          <t>🟡中强度</t>
        </is>
      </c>
      <c r="E44" s="7" t="n">
        <v>100</v>
      </c>
      <c r="F44" s="7" t="n">
        <v>120</v>
      </c>
      <c r="G44" s="7" t="n">
        <v>140</v>
      </c>
      <c r="H44" s="7" t="n">
        <v>160</v>
      </c>
      <c r="I44" s="7" t="inlineStr">
        <is>
          <t>★★☆☆☆</t>
        </is>
      </c>
      <c r="J44" s="5" t="inlineStr">
        <is>
          <t>跳跃+反应，全身协调</t>
        </is>
      </c>
    </row>
    <row r="45" ht="22" customHeight="1">
      <c r="A45" s="93" t="inlineStr">
        <is>
          <t>高尔夫（步行打球）</t>
        </is>
      </c>
      <c r="B45" s="5" t="inlineStr">
        <is>
          <t>球类运动</t>
        </is>
      </c>
      <c r="C45" s="7" t="n">
        <v>3.5</v>
      </c>
      <c r="D45" s="7" t="inlineStr">
        <is>
          <t>🟡中强度</t>
        </is>
      </c>
      <c r="E45" s="7" t="n">
        <v>88</v>
      </c>
      <c r="F45" s="7" t="n">
        <v>105</v>
      </c>
      <c r="G45" s="7" t="n">
        <v>122</v>
      </c>
      <c r="H45" s="7" t="n">
        <v>140</v>
      </c>
      <c r="I45" s="7" t="inlineStr">
        <is>
          <t>★★☆☆☆</t>
        </is>
      </c>
      <c r="J45" s="5" t="inlineStr">
        <is>
          <t>步行距离大，低强度有氧</t>
        </is>
      </c>
    </row>
    <row r="46" ht="22" customHeight="1">
      <c r="A46" s="94" t="inlineStr">
        <is>
          <t>自由泳（中等速度）</t>
        </is>
      </c>
      <c r="B46" s="26" t="inlineStr">
        <is>
          <t>水上运动</t>
        </is>
      </c>
      <c r="C46" s="28" t="n">
        <v>8.300000000000001</v>
      </c>
      <c r="D46" s="28" t="inlineStr">
        <is>
          <t>🔴高强度</t>
        </is>
      </c>
      <c r="E46" s="28" t="n">
        <v>208</v>
      </c>
      <c r="F46" s="28" t="n">
        <v>249</v>
      </c>
      <c r="G46" s="28" t="n">
        <v>290</v>
      </c>
      <c r="H46" s="28" t="n">
        <v>332</v>
      </c>
      <c r="I46" s="28" t="inlineStr">
        <is>
          <t>★★★★☆</t>
        </is>
      </c>
      <c r="J46" s="26" t="inlineStr">
        <is>
          <t>全身肌肉参与，关节压力极小</t>
        </is>
      </c>
    </row>
    <row r="47" ht="22" customHeight="1">
      <c r="A47" s="94" t="inlineStr">
        <is>
          <t>蛙泳</t>
        </is>
      </c>
      <c r="B47" s="26" t="inlineStr">
        <is>
          <t>水上运动</t>
        </is>
      </c>
      <c r="C47" s="28" t="n">
        <v>5.3</v>
      </c>
      <c r="D47" s="28" t="inlineStr">
        <is>
          <t>🟡中强度</t>
        </is>
      </c>
      <c r="E47" s="28" t="n">
        <v>132</v>
      </c>
      <c r="F47" s="28" t="n">
        <v>159</v>
      </c>
      <c r="G47" s="28" t="n">
        <v>186</v>
      </c>
      <c r="H47" s="28" t="n">
        <v>212</v>
      </c>
      <c r="I47" s="28" t="inlineStr">
        <is>
          <t>★★★☆☆</t>
        </is>
      </c>
      <c r="J47" s="26" t="inlineStr">
        <is>
          <t>全身协调，消耗适中</t>
        </is>
      </c>
    </row>
    <row r="48" ht="22" customHeight="1">
      <c r="A48" s="94" t="inlineStr">
        <is>
          <t>仰泳</t>
        </is>
      </c>
      <c r="B48" s="26" t="inlineStr">
        <is>
          <t>水上运动</t>
        </is>
      </c>
      <c r="C48" s="28" t="n">
        <v>4.8</v>
      </c>
      <c r="D48" s="28" t="inlineStr">
        <is>
          <t>🟡中强度</t>
        </is>
      </c>
      <c r="E48" s="28" t="n">
        <v>120</v>
      </c>
      <c r="F48" s="28" t="n">
        <v>144</v>
      </c>
      <c r="G48" s="28" t="n">
        <v>168</v>
      </c>
      <c r="H48" s="28" t="n">
        <v>192</v>
      </c>
      <c r="I48" s="28" t="inlineStr">
        <is>
          <t>★★☆☆☆</t>
        </is>
      </c>
      <c r="J48" s="26" t="inlineStr">
        <is>
          <t>背部力量为主</t>
        </is>
      </c>
    </row>
    <row r="49" ht="22" customHeight="1">
      <c r="A49" s="94" t="inlineStr">
        <is>
          <t>蝶泳</t>
        </is>
      </c>
      <c r="B49" s="26" t="inlineStr">
        <is>
          <t>水上运动</t>
        </is>
      </c>
      <c r="C49" s="28" t="n">
        <v>13.8</v>
      </c>
      <c r="D49" s="28" t="inlineStr">
        <is>
          <t>🔥极高强度</t>
        </is>
      </c>
      <c r="E49" s="28" t="n">
        <v>345</v>
      </c>
      <c r="F49" s="28" t="n">
        <v>414</v>
      </c>
      <c r="G49" s="28" t="n">
        <v>483</v>
      </c>
      <c r="H49" s="28" t="n">
        <v>552</v>
      </c>
      <c r="I49" s="28" t="inlineStr">
        <is>
          <t>★★★★★</t>
        </is>
      </c>
      <c r="J49" s="26" t="inlineStr">
        <is>
          <t>最高消耗的泳姿</t>
        </is>
      </c>
    </row>
    <row r="50" ht="22" customHeight="1">
      <c r="A50" s="94" t="inlineStr">
        <is>
          <t>水中有氧操</t>
        </is>
      </c>
      <c r="B50" s="26" t="inlineStr">
        <is>
          <t>水上运动</t>
        </is>
      </c>
      <c r="C50" s="28" t="n">
        <v>4</v>
      </c>
      <c r="D50" s="28" t="inlineStr">
        <is>
          <t>🟡中强度</t>
        </is>
      </c>
      <c r="E50" s="28" t="n">
        <v>100</v>
      </c>
      <c r="F50" s="28" t="n">
        <v>120</v>
      </c>
      <c r="G50" s="28" t="n">
        <v>140</v>
      </c>
      <c r="H50" s="28" t="n">
        <v>160</v>
      </c>
      <c r="I50" s="28" t="inlineStr">
        <is>
          <t>★★☆☆☆</t>
        </is>
      </c>
      <c r="J50" s="26" t="inlineStr">
        <is>
          <t>老年人&amp;康复期友好</t>
        </is>
      </c>
    </row>
    <row r="51" ht="22" customHeight="1">
      <c r="A51" s="94" t="inlineStr">
        <is>
          <t>划船机</t>
        </is>
      </c>
      <c r="B51" s="26" t="inlineStr">
        <is>
          <t>水上运动</t>
        </is>
      </c>
      <c r="C51" s="28" t="n">
        <v>7</v>
      </c>
      <c r="D51" s="28" t="inlineStr">
        <is>
          <t>🔴高强度</t>
        </is>
      </c>
      <c r="E51" s="28" t="n">
        <v>175</v>
      </c>
      <c r="F51" s="28" t="n">
        <v>210</v>
      </c>
      <c r="G51" s="28" t="n">
        <v>245</v>
      </c>
      <c r="H51" s="28" t="n">
        <v>280</v>
      </c>
      <c r="I51" s="28" t="inlineStr">
        <is>
          <t>★★★★☆</t>
        </is>
      </c>
      <c r="J51" s="26" t="inlineStr">
        <is>
          <t>全身86%肌肉参与</t>
        </is>
      </c>
    </row>
    <row r="52" ht="22" customHeight="1">
      <c r="A52" s="95" t="inlineStr">
        <is>
          <t>登山/爬山（中等坡度）</t>
        </is>
      </c>
      <c r="B52" s="23" t="inlineStr">
        <is>
          <t>户外运动</t>
        </is>
      </c>
      <c r="C52" s="25" t="n">
        <v>6.3</v>
      </c>
      <c r="D52" s="25" t="inlineStr">
        <is>
          <t>🔴高强度</t>
        </is>
      </c>
      <c r="E52" s="25" t="n">
        <v>158</v>
      </c>
      <c r="F52" s="25" t="n">
        <v>189</v>
      </c>
      <c r="G52" s="25" t="n">
        <v>220</v>
      </c>
      <c r="H52" s="25" t="n">
        <v>252</v>
      </c>
      <c r="I52" s="25" t="inlineStr">
        <is>
          <t>★★★☆☆</t>
        </is>
      </c>
      <c r="J52" s="23" t="inlineStr">
        <is>
          <t>负重增加消耗可达9+</t>
        </is>
      </c>
    </row>
    <row r="53" ht="22" customHeight="1">
      <c r="A53" s="95" t="inlineStr">
        <is>
          <t>徒步（5km/h山地）</t>
        </is>
      </c>
      <c r="B53" s="23" t="inlineStr">
        <is>
          <t>户外运动</t>
        </is>
      </c>
      <c r="C53" s="25" t="n">
        <v>6</v>
      </c>
      <c r="D53" s="25" t="inlineStr">
        <is>
          <t>🔴高强度</t>
        </is>
      </c>
      <c r="E53" s="25" t="n">
        <v>150</v>
      </c>
      <c r="F53" s="25" t="n">
        <v>180</v>
      </c>
      <c r="G53" s="25" t="n">
        <v>210</v>
      </c>
      <c r="H53" s="25" t="n">
        <v>240</v>
      </c>
      <c r="I53" s="25" t="inlineStr">
        <is>
          <t>★★★☆☆</t>
        </is>
      </c>
      <c r="J53" s="23" t="inlineStr">
        <is>
          <t>长距离累积消耗可观</t>
        </is>
      </c>
    </row>
    <row r="54" ht="22" customHeight="1">
      <c r="A54" s="95" t="inlineStr">
        <is>
          <t>滑雪（下坡）</t>
        </is>
      </c>
      <c r="B54" s="23" t="inlineStr">
        <is>
          <t>户外运动</t>
        </is>
      </c>
      <c r="C54" s="25" t="n">
        <v>5.3</v>
      </c>
      <c r="D54" s="25" t="inlineStr">
        <is>
          <t>🟡中强度</t>
        </is>
      </c>
      <c r="E54" s="25" t="n">
        <v>132</v>
      </c>
      <c r="F54" s="25" t="n">
        <v>159</v>
      </c>
      <c r="G54" s="25" t="n">
        <v>186</v>
      </c>
      <c r="H54" s="25" t="n">
        <v>212</v>
      </c>
      <c r="I54" s="25" t="inlineStr">
        <is>
          <t>★★★☆☆</t>
        </is>
      </c>
      <c r="J54" s="23" t="inlineStr">
        <is>
          <t>核心稳定+全身协调</t>
        </is>
      </c>
    </row>
    <row r="55" ht="22" customHeight="1">
      <c r="A55" s="95" t="inlineStr">
        <is>
          <t>滑冰（中等速度）</t>
        </is>
      </c>
      <c r="B55" s="23" t="inlineStr">
        <is>
          <t>户外运动</t>
        </is>
      </c>
      <c r="C55" s="25" t="n">
        <v>7</v>
      </c>
      <c r="D55" s="25" t="inlineStr">
        <is>
          <t>🔴高强度</t>
        </is>
      </c>
      <c r="E55" s="25" t="n">
        <v>175</v>
      </c>
      <c r="F55" s="25" t="n">
        <v>210</v>
      </c>
      <c r="G55" s="25" t="n">
        <v>245</v>
      </c>
      <c r="H55" s="25" t="n">
        <v>280</v>
      </c>
      <c r="I55" s="25" t="inlineStr">
        <is>
          <t>★★★★☆</t>
        </is>
      </c>
      <c r="J55" s="23" t="inlineStr">
        <is>
          <t>全身平衡+腿部力量</t>
        </is>
      </c>
    </row>
    <row r="56" ht="22" customHeight="1">
      <c r="A56" s="95" t="inlineStr">
        <is>
          <t>骑马</t>
        </is>
      </c>
      <c r="B56" s="23" t="inlineStr">
        <is>
          <t>户外运动</t>
        </is>
      </c>
      <c r="C56" s="25" t="n">
        <v>4</v>
      </c>
      <c r="D56" s="25" t="inlineStr">
        <is>
          <t>🟡中强度</t>
        </is>
      </c>
      <c r="E56" s="25" t="n">
        <v>100</v>
      </c>
      <c r="F56" s="25" t="n">
        <v>120</v>
      </c>
      <c r="G56" s="25" t="n">
        <v>140</v>
      </c>
      <c r="H56" s="25" t="n">
        <v>160</v>
      </c>
      <c r="I56" s="25" t="inlineStr">
        <is>
          <t>★★☆☆☆</t>
        </is>
      </c>
      <c r="J56" s="23" t="inlineStr">
        <is>
          <t>核心稳定性训练</t>
        </is>
      </c>
    </row>
    <row r="57" ht="22" customHeight="1">
      <c r="A57" s="96" t="inlineStr">
        <is>
          <t>拳击训练（打沙袋）</t>
        </is>
      </c>
      <c r="B57" s="83" t="inlineStr">
        <is>
          <t>格斗/舞蹈</t>
        </is>
      </c>
      <c r="C57" s="82" t="n">
        <v>10</v>
      </c>
      <c r="D57" s="82" t="inlineStr">
        <is>
          <t>🔥极高强度</t>
        </is>
      </c>
      <c r="E57" s="82" t="n">
        <v>250</v>
      </c>
      <c r="F57" s="82" t="n">
        <v>300</v>
      </c>
      <c r="G57" s="82" t="n">
        <v>350</v>
      </c>
      <c r="H57" s="82" t="n">
        <v>400</v>
      </c>
      <c r="I57" s="82" t="inlineStr">
        <is>
          <t>★★★★★</t>
        </is>
      </c>
      <c r="J57" s="83" t="inlineStr">
        <is>
          <t>上肢+心肺高强度训练</t>
        </is>
      </c>
    </row>
    <row r="58" ht="22" customHeight="1">
      <c r="A58" s="96" t="inlineStr">
        <is>
          <t>踢拳道/跆拳道</t>
        </is>
      </c>
      <c r="B58" s="83" t="inlineStr">
        <is>
          <t>格斗/舞蹈</t>
        </is>
      </c>
      <c r="C58" s="82" t="n">
        <v>10</v>
      </c>
      <c r="D58" s="82" t="inlineStr">
        <is>
          <t>🔥极高强度</t>
        </is>
      </c>
      <c r="E58" s="82" t="n">
        <v>250</v>
      </c>
      <c r="F58" s="82" t="n">
        <v>300</v>
      </c>
      <c r="G58" s="82" t="n">
        <v>350</v>
      </c>
      <c r="H58" s="82" t="n">
        <v>400</v>
      </c>
      <c r="I58" s="82" t="inlineStr">
        <is>
          <t>★★★★★</t>
        </is>
      </c>
      <c r="J58" s="83" t="inlineStr">
        <is>
          <t>全身爆发力+心肺</t>
        </is>
      </c>
    </row>
    <row r="59" ht="22" customHeight="1">
      <c r="A59" s="96" t="inlineStr">
        <is>
          <t>柔道/摔跤</t>
        </is>
      </c>
      <c r="B59" s="83" t="inlineStr">
        <is>
          <t>格斗/舞蹈</t>
        </is>
      </c>
      <c r="C59" s="82" t="n">
        <v>10.3</v>
      </c>
      <c r="D59" s="82" t="inlineStr">
        <is>
          <t>🔥极高强度</t>
        </is>
      </c>
      <c r="E59" s="82" t="n">
        <v>258</v>
      </c>
      <c r="F59" s="82" t="n">
        <v>309</v>
      </c>
      <c r="G59" s="82" t="n">
        <v>360</v>
      </c>
      <c r="H59" s="82" t="n">
        <v>412</v>
      </c>
      <c r="I59" s="82" t="inlineStr">
        <is>
          <t>★★★★★</t>
        </is>
      </c>
      <c r="J59" s="83" t="inlineStr">
        <is>
          <t>全身力量对抗</t>
        </is>
      </c>
    </row>
    <row r="60" ht="22" customHeight="1">
      <c r="A60" s="96" t="inlineStr">
        <is>
          <t>街舞/Breaking</t>
        </is>
      </c>
      <c r="B60" s="83" t="inlineStr">
        <is>
          <t>格斗/舞蹈</t>
        </is>
      </c>
      <c r="C60" s="82" t="n">
        <v>8</v>
      </c>
      <c r="D60" s="82" t="inlineStr">
        <is>
          <t>🔴高强度</t>
        </is>
      </c>
      <c r="E60" s="82" t="n">
        <v>200</v>
      </c>
      <c r="F60" s="82" t="n">
        <v>240</v>
      </c>
      <c r="G60" s="82" t="n">
        <v>280</v>
      </c>
      <c r="H60" s="82" t="n">
        <v>320</v>
      </c>
      <c r="I60" s="82" t="inlineStr">
        <is>
          <t>★★★★☆</t>
        </is>
      </c>
      <c r="J60" s="83" t="inlineStr">
        <is>
          <t>全身协调+核心力量</t>
        </is>
      </c>
    </row>
    <row r="61" ht="22" customHeight="1">
      <c r="A61" s="96" t="inlineStr">
        <is>
          <t>拉丁舞（竞技）</t>
        </is>
      </c>
      <c r="B61" s="83" t="inlineStr">
        <is>
          <t>格斗/舞蹈</t>
        </is>
      </c>
      <c r="C61" s="82" t="n">
        <v>5</v>
      </c>
      <c r="D61" s="82" t="inlineStr">
        <is>
          <t>🟡中强度</t>
        </is>
      </c>
      <c r="E61" s="82" t="n">
        <v>125</v>
      </c>
      <c r="F61" s="82" t="n">
        <v>150</v>
      </c>
      <c r="G61" s="82" t="n">
        <v>175</v>
      </c>
      <c r="H61" s="82" t="n">
        <v>200</v>
      </c>
      <c r="I61" s="82" t="inlineStr">
        <is>
          <t>★★★☆☆</t>
        </is>
      </c>
      <c r="J61" s="83" t="inlineStr">
        <is>
          <t>下肢力量+灵活性</t>
        </is>
      </c>
    </row>
    <row r="62" ht="22" customHeight="1">
      <c r="A62" s="96" t="inlineStr">
        <is>
          <t>肚皮舞</t>
        </is>
      </c>
      <c r="B62" s="83" t="inlineStr">
        <is>
          <t>格斗/舞蹈</t>
        </is>
      </c>
      <c r="C62" s="82" t="n">
        <v>4.5</v>
      </c>
      <c r="D62" s="82" t="inlineStr">
        <is>
          <t>🟡中强度</t>
        </is>
      </c>
      <c r="E62" s="82" t="n">
        <v>112</v>
      </c>
      <c r="F62" s="82" t="n">
        <v>135</v>
      </c>
      <c r="G62" s="82" t="n">
        <v>158</v>
      </c>
      <c r="H62" s="82" t="n">
        <v>180</v>
      </c>
      <c r="I62" s="82" t="inlineStr">
        <is>
          <t>★★☆☆☆</t>
        </is>
      </c>
      <c r="J62" s="83" t="inlineStr">
        <is>
          <t>核心控制，低冲击</t>
        </is>
      </c>
    </row>
    <row r="63" ht="22" customHeight="1">
      <c r="A63" s="96" t="inlineStr">
        <is>
          <t>太极拳</t>
        </is>
      </c>
      <c r="B63" s="83" t="inlineStr">
        <is>
          <t>格斗/舞蹈</t>
        </is>
      </c>
      <c r="C63" s="82" t="n">
        <v>3</v>
      </c>
      <c r="D63" s="82" t="inlineStr">
        <is>
          <t>🟡中强度</t>
        </is>
      </c>
      <c r="E63" s="82" t="n">
        <v>75</v>
      </c>
      <c r="F63" s="82" t="n">
        <v>90</v>
      </c>
      <c r="G63" s="82" t="n">
        <v>105</v>
      </c>
      <c r="H63" s="82" t="n">
        <v>120</v>
      </c>
      <c r="I63" s="82" t="inlineStr">
        <is>
          <t>★★☆☆☆</t>
        </is>
      </c>
      <c r="J63" s="83" t="inlineStr">
        <is>
          <t>平衡&amp;协调，适合中老年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38" customWidth="1" min="4" max="4"/>
    <col width="12" customWidth="1" min="5" max="5"/>
    <col width="12" customWidth="1" min="6" max="6"/>
    <col width="10" customWidth="1" min="7" max="7"/>
    <col width="42" customWidth="1" min="8" max="8"/>
    <col width="12" customWidth="1" min="9" max="9"/>
  </cols>
  <sheetData>
    <row r="1" ht="32" customHeight="1">
      <c r="A1" s="35" t="inlineStr">
        <is>
          <t>菜肴标杆对照表  —  按肉类 × 用油程度</t>
        </is>
      </c>
    </row>
    <row r="2" ht="28" customHeight="1">
      <c r="A2" s="36" t="inlineStr">
        <is>
          <t>肉类/食材</t>
        </is>
      </c>
      <c r="B2" s="36" t="inlineStr">
        <is>
          <t>用油程度</t>
        </is>
      </c>
      <c r="C2" s="36" t="inlineStr">
        <is>
          <t>烹饪方式</t>
        </is>
      </c>
      <c r="D2" s="36" t="inlineStr">
        <is>
          <t>标杆菜例</t>
        </is>
      </c>
      <c r="E2" s="36" t="inlineStr">
        <is>
          <t>每100g kcal</t>
        </is>
      </c>
      <c r="F2" s="36" t="inlineStr">
        <is>
          <t>常见份量(g)</t>
        </is>
      </c>
      <c r="G2" s="36" t="inlineStr">
        <is>
          <t>每份 kcal</t>
        </is>
      </c>
      <c r="H2" s="36" t="inlineStr">
        <is>
          <t>健康提示</t>
        </is>
      </c>
      <c r="I2" s="36" t="inlineStr">
        <is>
          <t>减脂指数★少=好</t>
        </is>
      </c>
    </row>
    <row r="3" ht="30" customHeight="1">
      <c r="A3" s="37" t="inlineStr">
        <is>
          <t>猪肉</t>
        </is>
      </c>
      <c r="B3" s="38" t="inlineStr">
        <is>
          <t>🔴 重油</t>
        </is>
      </c>
      <c r="C3" s="39" t="inlineStr">
        <is>
          <t>炸/溜/烤</t>
        </is>
      </c>
      <c r="D3" s="37" t="inlineStr">
        <is>
          <t>糖醋里脊、溜肉段、红烧肉</t>
        </is>
      </c>
      <c r="E3" s="39" t="n">
        <v>310</v>
      </c>
      <c r="F3" s="39" t="n">
        <v>200</v>
      </c>
      <c r="G3" s="39" t="n">
        <v>620</v>
      </c>
      <c r="H3" s="37" t="inlineStr">
        <is>
          <t>饱和脂肪高，偶尔食用</t>
        </is>
      </c>
      <c r="I3" s="39" t="inlineStr">
        <is>
          <t>★★★★★</t>
        </is>
      </c>
    </row>
    <row r="4" ht="30" customHeight="1">
      <c r="A4" s="37" t="inlineStr">
        <is>
          <t>猪肉</t>
        </is>
      </c>
      <c r="B4" s="38" t="inlineStr">
        <is>
          <t>🔴 重油</t>
        </is>
      </c>
      <c r="C4" s="39" t="inlineStr">
        <is>
          <t>炖（重调味）</t>
        </is>
      </c>
      <c r="D4" s="37" t="inlineStr">
        <is>
          <t>梅菜扣肉、腊肉炒菜</t>
        </is>
      </c>
      <c r="E4" s="39" t="n">
        <v>330</v>
      </c>
      <c r="F4" s="39" t="n">
        <v>150</v>
      </c>
      <c r="G4" s="39" t="n">
        <v>495</v>
      </c>
      <c r="H4" s="37" t="inlineStr">
        <is>
          <t>用油+腌制，钠&amp;脂肪双高</t>
        </is>
      </c>
      <c r="I4" s="39" t="inlineStr">
        <is>
          <t>★★★★★</t>
        </is>
      </c>
    </row>
    <row r="5" ht="30" customHeight="1">
      <c r="A5" s="40" t="inlineStr">
        <is>
          <t>猪肉</t>
        </is>
      </c>
      <c r="B5" s="41" t="inlineStr">
        <is>
          <t>🟡 中油</t>
        </is>
      </c>
      <c r="C5" s="42" t="inlineStr">
        <is>
          <t>炒（普通家常）</t>
        </is>
      </c>
      <c r="D5" s="40" t="inlineStr">
        <is>
          <t>回锅肉、京酱肉丝、蒜苗炒肉</t>
        </is>
      </c>
      <c r="E5" s="42" t="n">
        <v>230</v>
      </c>
      <c r="F5" s="42" t="n">
        <v>200</v>
      </c>
      <c r="G5" s="42" t="n">
        <v>460</v>
      </c>
      <c r="H5" s="40" t="inlineStr">
        <is>
          <t>控制猪肥肉比例可降热量</t>
        </is>
      </c>
      <c r="I5" s="42" t="inlineStr">
        <is>
          <t>★★★☆☆</t>
        </is>
      </c>
    </row>
    <row r="6" ht="30" customHeight="1">
      <c r="A6" s="40" t="inlineStr">
        <is>
          <t>猪肉</t>
        </is>
      </c>
      <c r="B6" s="41" t="inlineStr">
        <is>
          <t>🟡 中油</t>
        </is>
      </c>
      <c r="C6" s="42" t="inlineStr">
        <is>
          <t>炖（清汤）</t>
        </is>
      </c>
      <c r="D6" s="40" t="inlineStr">
        <is>
          <t>猪肉炖粉条、清炖猪蹄</t>
        </is>
      </c>
      <c r="E6" s="42" t="n">
        <v>190</v>
      </c>
      <c r="F6" s="42" t="n">
        <v>200</v>
      </c>
      <c r="G6" s="42" t="n">
        <v>380</v>
      </c>
      <c r="H6" s="40" t="inlineStr">
        <is>
          <t>去浮油可降热量</t>
        </is>
      </c>
      <c r="I6" s="42" t="inlineStr">
        <is>
          <t>★★★☆☆</t>
        </is>
      </c>
    </row>
    <row r="7" ht="30" customHeight="1">
      <c r="A7" s="43" t="inlineStr">
        <is>
          <t>猪肉</t>
        </is>
      </c>
      <c r="B7" s="44" t="inlineStr">
        <is>
          <t>🟢 轻油</t>
        </is>
      </c>
      <c r="C7" s="45" t="inlineStr">
        <is>
          <t>蒸/煮</t>
        </is>
      </c>
      <c r="D7" s="43" t="inlineStr">
        <is>
          <t>粉蒸肉(少油版)、蒜泥白肉(去皮)</t>
        </is>
      </c>
      <c r="E7" s="45" t="n">
        <v>180</v>
      </c>
      <c r="F7" s="45" t="n">
        <v>150</v>
      </c>
      <c r="G7" s="45" t="n">
        <v>270</v>
      </c>
      <c r="H7" s="43" t="inlineStr">
        <is>
          <t>选瘦肉，去皮，热量大降</t>
        </is>
      </c>
      <c r="I7" s="45" t="inlineStr">
        <is>
          <t>★★☆☆☆</t>
        </is>
      </c>
    </row>
    <row r="8" ht="30" customHeight="1">
      <c r="A8" s="37" t="inlineStr">
        <is>
          <t>牛肉</t>
        </is>
      </c>
      <c r="B8" s="38" t="inlineStr">
        <is>
          <t>🔴 重油</t>
        </is>
      </c>
      <c r="C8" s="39" t="inlineStr">
        <is>
          <t>炸/干煸</t>
        </is>
      </c>
      <c r="D8" s="37" t="inlineStr">
        <is>
          <t>炸牛排、干煸牛肉丝</t>
        </is>
      </c>
      <c r="E8" s="39" t="n">
        <v>290</v>
      </c>
      <c r="F8" s="39" t="n">
        <v>150</v>
      </c>
      <c r="G8" s="39" t="n">
        <v>435</v>
      </c>
      <c r="H8" s="37" t="inlineStr">
        <is>
          <t>油炸损失B族维生素</t>
        </is>
      </c>
      <c r="I8" s="39" t="inlineStr">
        <is>
          <t>★★★★☆</t>
        </is>
      </c>
    </row>
    <row r="9" ht="30" customHeight="1">
      <c r="A9" s="40" t="inlineStr">
        <is>
          <t>牛肉</t>
        </is>
      </c>
      <c r="B9" s="41" t="inlineStr">
        <is>
          <t>🟡 中油</t>
        </is>
      </c>
      <c r="C9" s="42" t="inlineStr">
        <is>
          <t>炒/烧</t>
        </is>
      </c>
      <c r="D9" s="40" t="inlineStr">
        <is>
          <t>黑椒牛柳、红烧牛肉、咖喱牛肉</t>
        </is>
      </c>
      <c r="E9" s="42" t="n">
        <v>190</v>
      </c>
      <c r="F9" s="42" t="n">
        <v>200</v>
      </c>
      <c r="G9" s="42" t="n">
        <v>380</v>
      </c>
      <c r="H9" s="40" t="inlineStr">
        <is>
          <t>牛肉本身蛋白高，选择好</t>
        </is>
      </c>
      <c r="I9" s="42" t="inlineStr">
        <is>
          <t>★★★☆☆</t>
        </is>
      </c>
    </row>
    <row r="10" ht="30" customHeight="1">
      <c r="A10" s="43" t="inlineStr">
        <is>
          <t>牛肉</t>
        </is>
      </c>
      <c r="B10" s="44" t="inlineStr">
        <is>
          <t>🟢 轻油</t>
        </is>
      </c>
      <c r="C10" s="45" t="inlineStr">
        <is>
          <t>炖/涮/煮</t>
        </is>
      </c>
      <c r="D10" s="43" t="inlineStr">
        <is>
          <t>土豆炖牛肉、清炖牛腩、涮牛肉</t>
        </is>
      </c>
      <c r="E10" s="45" t="n">
        <v>150</v>
      </c>
      <c r="F10" s="45" t="n">
        <v>200</v>
      </c>
      <c r="G10" s="45" t="n">
        <v>300</v>
      </c>
      <c r="H10" s="43" t="inlineStr">
        <is>
          <t>保留铁和B12，减脂优选</t>
        </is>
      </c>
      <c r="I10" s="45" t="inlineStr">
        <is>
          <t>★★☆☆☆</t>
        </is>
      </c>
    </row>
    <row r="11" ht="30" customHeight="1">
      <c r="A11" s="37" t="inlineStr">
        <is>
          <t>羊肉</t>
        </is>
      </c>
      <c r="B11" s="38" t="inlineStr">
        <is>
          <t>🔴 重油</t>
        </is>
      </c>
      <c r="C11" s="39" t="inlineStr">
        <is>
          <t>烤/炸</t>
        </is>
      </c>
      <c r="D11" s="37" t="inlineStr">
        <is>
          <t>炭烤羊腿、炸羊排</t>
        </is>
      </c>
      <c r="E11" s="39" t="n">
        <v>310</v>
      </c>
      <c r="F11" s="39" t="n">
        <v>150</v>
      </c>
      <c r="G11" s="39" t="n">
        <v>465</v>
      </c>
      <c r="H11" s="37" t="inlineStr">
        <is>
          <t>烤制脂肪滴落但表皮焦香含致癌物</t>
        </is>
      </c>
      <c r="I11" s="39" t="inlineStr">
        <is>
          <t>★★★★☆</t>
        </is>
      </c>
    </row>
    <row r="12" ht="30" customHeight="1">
      <c r="A12" s="40" t="inlineStr">
        <is>
          <t>羊肉</t>
        </is>
      </c>
      <c r="B12" s="41" t="inlineStr">
        <is>
          <t>🟡 中油</t>
        </is>
      </c>
      <c r="C12" s="42" t="inlineStr">
        <is>
          <t>炒/爆</t>
        </is>
      </c>
      <c r="D12" s="40" t="inlineStr">
        <is>
          <t>葱爆羊肉、孜然羊肉炒</t>
        </is>
      </c>
      <c r="E12" s="42" t="n">
        <v>220</v>
      </c>
      <c r="F12" s="42" t="n">
        <v>200</v>
      </c>
      <c r="G12" s="42" t="n">
        <v>440</v>
      </c>
      <c r="H12" s="40" t="inlineStr">
        <is>
          <t>大火快炒减少用油</t>
        </is>
      </c>
      <c r="I12" s="42" t="inlineStr">
        <is>
          <t>★★★☆☆</t>
        </is>
      </c>
    </row>
    <row r="13" ht="30" customHeight="1">
      <c r="A13" s="43" t="inlineStr">
        <is>
          <t>羊肉</t>
        </is>
      </c>
      <c r="B13" s="44" t="inlineStr">
        <is>
          <t>🟢 轻油</t>
        </is>
      </c>
      <c r="C13" s="45" t="inlineStr">
        <is>
          <t>炖/涮/煮</t>
        </is>
      </c>
      <c r="D13" s="43" t="inlineStr">
        <is>
          <t>手抓羊肉、清炖羊肉、涮羊肉</t>
        </is>
      </c>
      <c r="E13" s="45" t="n">
        <v>180</v>
      </c>
      <c r="F13" s="45" t="n">
        <v>200</v>
      </c>
      <c r="G13" s="45" t="n">
        <v>360</v>
      </c>
      <c r="H13" s="43" t="inlineStr">
        <is>
          <t>去浮油，蘸料轻口</t>
        </is>
      </c>
      <c r="I13" s="45" t="inlineStr">
        <is>
          <t>★★☆☆☆</t>
        </is>
      </c>
    </row>
    <row r="14" ht="30" customHeight="1">
      <c r="A14" s="37" t="inlineStr">
        <is>
          <t>鸡肉</t>
        </is>
      </c>
      <c r="B14" s="38" t="inlineStr">
        <is>
          <t>🔴 重油</t>
        </is>
      </c>
      <c r="C14" s="39" t="inlineStr">
        <is>
          <t>炸/爆</t>
        </is>
      </c>
      <c r="D14" s="37" t="inlineStr">
        <is>
          <t>辣子鸡、炸鸡腿、炸鸡排</t>
        </is>
      </c>
      <c r="E14" s="39" t="n">
        <v>270</v>
      </c>
      <c r="F14" s="39" t="n">
        <v>180</v>
      </c>
      <c r="G14" s="39" t="n">
        <v>486</v>
      </c>
      <c r="H14" s="37" t="inlineStr">
        <is>
          <t>带皮油炸，热量最高</t>
        </is>
      </c>
      <c r="I14" s="39" t="inlineStr">
        <is>
          <t>★★★★★</t>
        </is>
      </c>
    </row>
    <row r="15" ht="30" customHeight="1">
      <c r="A15" s="40" t="inlineStr">
        <is>
          <t>鸡肉</t>
        </is>
      </c>
      <c r="B15" s="41" t="inlineStr">
        <is>
          <t>🟡 中油</t>
        </is>
      </c>
      <c r="C15" s="42" t="inlineStr">
        <is>
          <t>焖/烧/煎</t>
        </is>
      </c>
      <c r="D15" s="40" t="inlineStr">
        <is>
          <t>黄焖鸡、可乐鸡翅、煎鸡腿</t>
        </is>
      </c>
      <c r="E15" s="42" t="n">
        <v>200</v>
      </c>
      <c r="F15" s="42" t="n">
        <v>200</v>
      </c>
      <c r="G15" s="42" t="n">
        <v>400</v>
      </c>
      <c r="H15" s="40" t="inlineStr">
        <is>
          <t>去皮可降20%热量</t>
        </is>
      </c>
      <c r="I15" s="42" t="inlineStr">
        <is>
          <t>★★★☆☆</t>
        </is>
      </c>
    </row>
    <row r="16" ht="30" customHeight="1">
      <c r="A16" s="43" t="inlineStr">
        <is>
          <t>鸡肉</t>
        </is>
      </c>
      <c r="B16" s="44" t="inlineStr">
        <is>
          <t>🟢 轻油</t>
        </is>
      </c>
      <c r="C16" s="45" t="inlineStr">
        <is>
          <t>蒸/煮/拌</t>
        </is>
      </c>
      <c r="D16" s="43" t="inlineStr">
        <is>
          <t>白切鸡、清蒸鸡、口水鸡(少红油)</t>
        </is>
      </c>
      <c r="E16" s="45" t="n">
        <v>130</v>
      </c>
      <c r="F16" s="45" t="n">
        <v>200</v>
      </c>
      <c r="G16" s="45" t="n">
        <v>260</v>
      </c>
      <c r="H16" s="43" t="inlineStr">
        <is>
          <t>鸡胸肉首选，去皮低脂</t>
        </is>
      </c>
      <c r="I16" s="45" t="inlineStr">
        <is>
          <t>★★☆☆☆</t>
        </is>
      </c>
    </row>
    <row r="17" ht="30" customHeight="1">
      <c r="A17" s="37" t="inlineStr">
        <is>
          <t>鱼类</t>
        </is>
      </c>
      <c r="B17" s="38" t="inlineStr">
        <is>
          <t>🔴 重油</t>
        </is>
      </c>
      <c r="C17" s="39" t="inlineStr">
        <is>
          <t>炸/干烧</t>
        </is>
      </c>
      <c r="D17" s="37" t="inlineStr">
        <is>
          <t>糖醋鱼、干烧鱼、炸黄花鱼</t>
        </is>
      </c>
      <c r="E17" s="39" t="n">
        <v>220</v>
      </c>
      <c r="F17" s="39" t="n">
        <v>200</v>
      </c>
      <c r="G17" s="39" t="n">
        <v>440</v>
      </c>
      <c r="H17" s="37" t="inlineStr">
        <is>
          <t>炸皮吸油多，DHA受热破坏</t>
        </is>
      </c>
      <c r="I17" s="39" t="inlineStr">
        <is>
          <t>★★★★☆</t>
        </is>
      </c>
    </row>
    <row r="18" ht="30" customHeight="1">
      <c r="A18" s="40" t="inlineStr">
        <is>
          <t>鱼类</t>
        </is>
      </c>
      <c r="B18" s="41" t="inlineStr">
        <is>
          <t>🟡 中油</t>
        </is>
      </c>
      <c r="C18" s="42" t="inlineStr">
        <is>
          <t>烧/煮</t>
        </is>
      </c>
      <c r="D18" s="40" t="inlineStr">
        <is>
          <t>红烧鲫鱼、酸菜鱼、水煮鱼</t>
        </is>
      </c>
      <c r="E18" s="42" t="n">
        <v>150</v>
      </c>
      <c r="F18" s="42" t="n">
        <v>300</v>
      </c>
      <c r="G18" s="42" t="n">
        <v>450</v>
      </c>
      <c r="H18" s="40" t="inlineStr">
        <is>
          <t>汤底含油，实际热量较高</t>
        </is>
      </c>
      <c r="I18" s="42" t="inlineStr">
        <is>
          <t>★★★☆☆</t>
        </is>
      </c>
    </row>
    <row r="19" ht="30" customHeight="1">
      <c r="A19" s="43" t="inlineStr">
        <is>
          <t>鱼类</t>
        </is>
      </c>
      <c r="B19" s="44" t="inlineStr">
        <is>
          <t>🟢 轻油</t>
        </is>
      </c>
      <c r="C19" s="45" t="inlineStr">
        <is>
          <t>蒸/白灼/涮</t>
        </is>
      </c>
      <c r="D19" s="43" t="inlineStr">
        <is>
          <t>清蒸鱼、剁椒鱼头(少油)、涮鱼片</t>
        </is>
      </c>
      <c r="E19" s="45" t="n">
        <v>100</v>
      </c>
      <c r="F19" s="45" t="n">
        <v>300</v>
      </c>
      <c r="G19" s="45" t="n">
        <v>300</v>
      </c>
      <c r="H19" s="43" t="inlineStr">
        <is>
          <t>最佳方式，保留DHA、低热量</t>
        </is>
      </c>
      <c r="I19" s="45" t="inlineStr">
        <is>
          <t>★☆☆☆☆</t>
        </is>
      </c>
    </row>
    <row r="20" ht="30" customHeight="1">
      <c r="A20" s="37" t="inlineStr">
        <is>
          <t>海鲜（虾贝蟹）</t>
        </is>
      </c>
      <c r="B20" s="38" t="inlineStr">
        <is>
          <t>🔴 重油</t>
        </is>
      </c>
      <c r="C20" s="39" t="inlineStr">
        <is>
          <t>炒/炸</t>
        </is>
      </c>
      <c r="D20" s="37" t="inlineStr">
        <is>
          <t>干锅虾、香辣蟹、炸虾球</t>
        </is>
      </c>
      <c r="E20" s="39" t="n">
        <v>210</v>
      </c>
      <c r="F20" s="39" t="n">
        <v>200</v>
      </c>
      <c r="G20" s="39" t="n">
        <v>420</v>
      </c>
      <c r="H20" s="37" t="inlineStr">
        <is>
          <t>海鲜本低脂，重油烹饪大幅提高热量</t>
        </is>
      </c>
      <c r="I20" s="39" t="inlineStr">
        <is>
          <t>★★★★☆</t>
        </is>
      </c>
    </row>
    <row r="21" ht="30" customHeight="1">
      <c r="A21" s="43" t="inlineStr">
        <is>
          <t>海鲜（虾贝蟹）</t>
        </is>
      </c>
      <c r="B21" s="44" t="inlineStr">
        <is>
          <t>🟢 轻油</t>
        </is>
      </c>
      <c r="C21" s="45" t="inlineStr">
        <is>
          <t>蒸/白灼/涮</t>
        </is>
      </c>
      <c r="D21" s="43" t="inlineStr">
        <is>
          <t>白灼虾、蒜蓉蒸扇贝、蛤蜊蒸蛋</t>
        </is>
      </c>
      <c r="E21" s="45" t="n">
        <v>95</v>
      </c>
      <c r="F21" s="45" t="n">
        <v>200</v>
      </c>
      <c r="G21" s="45" t="n">
        <v>190</v>
      </c>
      <c r="H21" s="43" t="inlineStr">
        <is>
          <t>高蛋白低热量最优选择</t>
        </is>
      </c>
      <c r="I21" s="45" t="inlineStr">
        <is>
          <t>★☆☆☆☆</t>
        </is>
      </c>
    </row>
    <row r="22" ht="30" customHeight="1">
      <c r="A22" s="37" t="inlineStr">
        <is>
          <t>素菜（瓜茄叶）</t>
        </is>
      </c>
      <c r="B22" s="38" t="inlineStr">
        <is>
          <t>🔴 重油</t>
        </is>
      </c>
      <c r="C22" s="39" t="inlineStr">
        <is>
          <t>油焖/干锅/炸</t>
        </is>
      </c>
      <c r="D22" s="37" t="inlineStr">
        <is>
          <t>干锅花菜、地三鲜、炸茄盒</t>
        </is>
      </c>
      <c r="E22" s="39" t="n">
        <v>150</v>
      </c>
      <c r="F22" s="39" t="n">
        <v>200</v>
      </c>
      <c r="G22" s="39" t="n">
        <v>300</v>
      </c>
      <c r="H22" s="37" t="inlineStr">
        <is>
          <t>茄子吸油，炸制热量大幅上升</t>
        </is>
      </c>
      <c r="I22" s="39" t="inlineStr">
        <is>
          <t>★★★★☆</t>
        </is>
      </c>
    </row>
    <row r="23" ht="30" customHeight="1">
      <c r="A23" s="40" t="inlineStr">
        <is>
          <t>素菜（瓜茄叶）</t>
        </is>
      </c>
      <c r="B23" s="41" t="inlineStr">
        <is>
          <t>🟡 中油</t>
        </is>
      </c>
      <c r="C23" s="42" t="inlineStr">
        <is>
          <t>家常炒</t>
        </is>
      </c>
      <c r="D23" s="40" t="inlineStr">
        <is>
          <t>干煸四季豆、油焖春笋、炒莲藕</t>
        </is>
      </c>
      <c r="E23" s="42" t="n">
        <v>110</v>
      </c>
      <c r="F23" s="42" t="n">
        <v>200</v>
      </c>
      <c r="G23" s="42" t="n">
        <v>220</v>
      </c>
      <c r="H23" s="40" t="inlineStr">
        <is>
          <t>少油快炒，营养保留较好</t>
        </is>
      </c>
      <c r="I23" s="42" t="inlineStr">
        <is>
          <t>★★☆☆☆</t>
        </is>
      </c>
    </row>
    <row r="24" ht="30" customHeight="1">
      <c r="A24" s="43" t="inlineStr">
        <is>
          <t>素菜（瓜茄叶）</t>
        </is>
      </c>
      <c r="B24" s="44" t="inlineStr">
        <is>
          <t>🟢 轻油</t>
        </is>
      </c>
      <c r="C24" s="45" t="inlineStr">
        <is>
          <t>蒸/凉拌/焯水</t>
        </is>
      </c>
      <c r="D24" s="43" t="inlineStr">
        <is>
          <t>凉拌黄瓜、清炒时蔬、蒜蓉菠菜</t>
        </is>
      </c>
      <c r="E24" s="45" t="n">
        <v>30</v>
      </c>
      <c r="F24" s="45" t="n">
        <v>200</v>
      </c>
      <c r="G24" s="45" t="n">
        <v>60</v>
      </c>
      <c r="H24" s="43" t="inlineStr">
        <is>
          <t>减脂首选，维生素保留最好</t>
        </is>
      </c>
      <c r="I24" s="45" t="inlineStr">
        <is>
          <t>★☆☆☆☆</t>
        </is>
      </c>
    </row>
    <row r="25" ht="30" customHeight="1">
      <c r="A25" s="37" t="inlineStr">
        <is>
          <t>豆腐/豆制品</t>
        </is>
      </c>
      <c r="B25" s="38" t="inlineStr">
        <is>
          <t>🔴 重油</t>
        </is>
      </c>
      <c r="C25" s="39" t="inlineStr">
        <is>
          <t>炸/煎</t>
        </is>
      </c>
      <c r="D25" s="37" t="inlineStr">
        <is>
          <t>油豆腐、煎豆腐、臭豆腐(炸)</t>
        </is>
      </c>
      <c r="E25" s="39" t="n">
        <v>250</v>
      </c>
      <c r="F25" s="39" t="n">
        <v>150</v>
      </c>
      <c r="G25" s="39" t="n">
        <v>375</v>
      </c>
      <c r="H25" s="37" t="inlineStr">
        <is>
          <t>豆腐吸油率高，油炸热量翻倍</t>
        </is>
      </c>
      <c r="I25" s="39" t="inlineStr">
        <is>
          <t>★★★★☆</t>
        </is>
      </c>
    </row>
    <row r="26" ht="30" customHeight="1">
      <c r="A26" s="40" t="inlineStr">
        <is>
          <t>豆腐/豆制品</t>
        </is>
      </c>
      <c r="B26" s="41" t="inlineStr">
        <is>
          <t>🟡 中油</t>
        </is>
      </c>
      <c r="C26" s="42" t="inlineStr">
        <is>
          <t>烧/炒</t>
        </is>
      </c>
      <c r="D26" s="40" t="inlineStr">
        <is>
          <t>麻婆豆腐、红烧豆腐、家常豆腐</t>
        </is>
      </c>
      <c r="E26" s="42" t="n">
        <v>120</v>
      </c>
      <c r="F26" s="42" t="n">
        <v>200</v>
      </c>
      <c r="G26" s="42" t="n">
        <v>240</v>
      </c>
      <c r="H26" s="40" t="inlineStr">
        <is>
          <t>豆豉/豆瓣酱含钠高</t>
        </is>
      </c>
      <c r="I26" s="42" t="inlineStr">
        <is>
          <t>★★★☆☆</t>
        </is>
      </c>
    </row>
    <row r="27" ht="30" customHeight="1">
      <c r="A27" s="43" t="inlineStr">
        <is>
          <t>豆腐/豆制品</t>
        </is>
      </c>
      <c r="B27" s="44" t="inlineStr">
        <is>
          <t>🟢 轻油</t>
        </is>
      </c>
      <c r="C27" s="45" t="inlineStr">
        <is>
          <t>蒸/凉拌/炖</t>
        </is>
      </c>
      <c r="D27" s="43" t="inlineStr">
        <is>
          <t>蒸蛋豆腐、皮蛋豆腐、豆腐汤</t>
        </is>
      </c>
      <c r="E27" s="45" t="n">
        <v>70</v>
      </c>
      <c r="F27" s="45" t="n">
        <v>200</v>
      </c>
      <c r="G27" s="45" t="n">
        <v>140</v>
      </c>
      <c r="H27" s="43" t="inlineStr">
        <is>
          <t>高蛋白低热量，钙吸收好</t>
        </is>
      </c>
      <c r="I27" s="45" t="inlineStr">
        <is>
          <t>★☆☆☆☆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46" t="inlineStr">
        <is>
          <t>分类</t>
        </is>
      </c>
      <c r="B1" s="46" t="inlineStr">
        <is>
          <t>颜色说明</t>
        </is>
      </c>
      <c r="C1" s="46" t="inlineStr">
        <is>
          <t>食品数量</t>
        </is>
      </c>
    </row>
    <row r="2">
      <c r="A2" s="47" t="inlineStr">
        <is>
          <t>主食</t>
        </is>
      </c>
      <c r="B2" s="47" t="inlineStr">
        <is>
          <t>米饭、面条、饺子、包子等</t>
        </is>
      </c>
    </row>
    <row r="3">
      <c r="A3" s="48" t="inlineStr">
        <is>
          <t>菜肴</t>
        </is>
      </c>
      <c r="B3" s="48" t="inlineStr">
        <is>
          <t>炒菜、炖菜、蒸菜等</t>
        </is>
      </c>
    </row>
    <row r="4">
      <c r="A4" s="49" t="inlineStr">
        <is>
          <t>汤羹</t>
        </is>
      </c>
      <c r="B4" s="49" t="inlineStr">
        <is>
          <t>各类汤品</t>
        </is>
      </c>
    </row>
    <row r="5">
      <c r="A5" s="50" t="inlineStr">
        <is>
          <t>小吃</t>
        </is>
      </c>
      <c r="B5" s="50" t="inlineStr">
        <is>
          <t>街头小食</t>
        </is>
      </c>
    </row>
    <row r="6">
      <c r="A6" s="51" t="inlineStr">
        <is>
          <t>零食</t>
        </is>
      </c>
      <c r="B6" s="51" t="inlineStr">
        <is>
          <t>休闲零食、坚果等</t>
        </is>
      </c>
    </row>
    <row r="7">
      <c r="A7" s="52" t="inlineStr">
        <is>
          <t>甜点</t>
        </is>
      </c>
      <c r="B7" s="52" t="inlineStr">
        <is>
          <t>甜品、冷饮等</t>
        </is>
      </c>
    </row>
    <row r="8">
      <c r="A8" s="53" t="inlineStr">
        <is>
          <t>饮品</t>
        </is>
      </c>
      <c r="B8" s="53" t="inlineStr">
        <is>
          <t>各类饮料</t>
        </is>
      </c>
    </row>
    <row r="9">
      <c r="A9" s="54" t="inlineStr">
        <is>
          <t>外卖常见</t>
        </is>
      </c>
      <c r="B9" s="54" t="inlineStr">
        <is>
          <t>外卖常点菜品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55" t="inlineStr">
        <is>
          <t>中国常见食品营养参考表 - 使用说明</t>
        </is>
      </c>
    </row>
    <row r="2">
      <c r="A2" s="56" t="inlineStr">
        <is>
          <t>📋 使用说明</t>
        </is>
      </c>
      <c r="B2" s="57" t="n"/>
    </row>
    <row r="3">
      <c r="B3" s="57" t="n"/>
    </row>
    <row r="4">
      <c r="A4" s="56" t="inlineStr">
        <is>
          <t>数据来源</t>
        </is>
      </c>
      <c r="B4" s="57" t="inlineStr">
        <is>
          <t>数据参考中国食物成分表（第6版）及营养学研究资料，仅供参考</t>
        </is>
      </c>
    </row>
    <row r="5">
      <c r="A5" s="56" t="inlineStr">
        <is>
          <t>热量单位</t>
        </is>
      </c>
      <c r="B5" s="57" t="inlineStr">
        <is>
          <t>1 kcal = 4.184 kJ；表中已同时提供两种单位</t>
        </is>
      </c>
    </row>
    <row r="6">
      <c r="A6" s="56" t="inlineStr">
        <is>
          <t>每份定义</t>
        </is>
      </c>
      <c r="B6" s="57" t="inlineStr">
        <is>
          <t>常见单次食用量，实际份量因人而异</t>
        </is>
      </c>
    </row>
    <row r="7">
      <c r="A7" s="56" t="inlineStr">
        <is>
          <t>外卖版本</t>
        </is>
      </c>
      <c r="B7" s="57" t="inlineStr">
        <is>
          <t>外卖菜肴通常用油量更多，实际热量可能高于表中数值20-50%</t>
        </is>
      </c>
    </row>
    <row r="8">
      <c r="A8" s="56" t="inlineStr">
        <is>
          <t>烹饪方式</t>
        </is>
      </c>
      <c r="B8" s="57" t="inlineStr">
        <is>
          <t>同一食材不同烹饪方式（蒸/炸/炒）热量差异显著</t>
        </is>
      </c>
    </row>
    <row r="9">
      <c r="A9" s="56" t="inlineStr">
        <is>
          <t>调味品</t>
        </is>
      </c>
      <c r="B9" s="57" t="inlineStr">
        <is>
          <t>酱油、盐、糖等调味品会增加钠和热量摄入</t>
        </is>
      </c>
    </row>
    <row r="10">
      <c r="A10" s="56" t="inlineStr">
        <is>
          <t>营养均衡</t>
        </is>
      </c>
      <c r="B10" s="57" t="inlineStr">
        <is>
          <t>建议参考中国居民膳食指南，合理搭配各类食物</t>
        </is>
      </c>
    </row>
    <row r="11">
      <c r="A11" s="56" t="inlineStr">
        <is>
          <t>个体差异</t>
        </is>
      </c>
      <c r="B11" s="57" t="inlineStr">
        <is>
          <t>代谢速率存在个体差异，本表数值为人群平均参考值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2026-05-06T11:04:13Z</dcterms:created>
  <dcterms:modified xmlns:dcterms="http://purl.org/dc/terms/" xmlns:xsi="http://www.w3.org/2001/XMLSchema-instance" xsi:type="dcterms:W3CDTF">2026-05-06T11:20:21Z</dcterms:modified>
</cp:coreProperties>
</file>